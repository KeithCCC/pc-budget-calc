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CC.Playground\FMI_IT\pc-budget-calc\"/>
    </mc:Choice>
  </mc:AlternateContent>
  <xr:revisionPtr revIDLastSave="0" documentId="13_ncr:1_{E302117C-2B60-424E-B4EF-A1BFD92F630D}" xr6:coauthVersionLast="47" xr6:coauthVersionMax="47" xr10:uidLastSave="{00000000-0000-0000-0000-000000000000}"/>
  <bookViews>
    <workbookView xWindow="1050" yWindow="675" windowWidth="19185" windowHeight="13575" activeTab="1" xr2:uid="{8946F7D5-3117-4825-8B0B-BC62C548F1D3}"/>
  </bookViews>
  <sheets>
    <sheet name="【全社】Windows PCレンタル " sheetId="1" r:id="rId1"/>
    <sheet name="Sheet1" sheetId="2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"10/15/2024 00:20:16"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5" i="2" l="1"/>
  <c r="N125" i="2"/>
  <c r="M125" i="2"/>
  <c r="L125" i="2"/>
  <c r="K125" i="2"/>
  <c r="J125" i="2"/>
  <c r="I125" i="2"/>
  <c r="H125" i="2"/>
  <c r="G125" i="2"/>
  <c r="F125" i="2"/>
  <c r="E125" i="2"/>
  <c r="D125" i="2"/>
  <c r="P125" i="2" s="1"/>
  <c r="O124" i="2"/>
  <c r="N124" i="2"/>
  <c r="M124" i="2"/>
  <c r="L124" i="2"/>
  <c r="K124" i="2"/>
  <c r="J124" i="2"/>
  <c r="I124" i="2"/>
  <c r="H124" i="2"/>
  <c r="G124" i="2"/>
  <c r="F124" i="2"/>
  <c r="E124" i="2"/>
  <c r="D124" i="2"/>
  <c r="P124" i="2" s="1"/>
  <c r="O123" i="2"/>
  <c r="N123" i="2"/>
  <c r="M123" i="2"/>
  <c r="L123" i="2"/>
  <c r="K123" i="2"/>
  <c r="J123" i="2"/>
  <c r="I123" i="2"/>
  <c r="P123" i="2" s="1"/>
  <c r="H123" i="2"/>
  <c r="G123" i="2"/>
  <c r="F123" i="2"/>
  <c r="E123" i="2"/>
  <c r="D123" i="2"/>
  <c r="O122" i="2"/>
  <c r="N122" i="2"/>
  <c r="M122" i="2"/>
  <c r="L122" i="2"/>
  <c r="K122" i="2"/>
  <c r="J122" i="2"/>
  <c r="P122" i="2" s="1"/>
  <c r="I122" i="2"/>
  <c r="H122" i="2"/>
  <c r="G122" i="2"/>
  <c r="F122" i="2"/>
  <c r="E122" i="2"/>
  <c r="D122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P121" i="2" s="1"/>
  <c r="P118" i="2"/>
  <c r="P116" i="2"/>
  <c r="P115" i="2"/>
  <c r="P113" i="2"/>
  <c r="P112" i="2"/>
  <c r="P109" i="2"/>
  <c r="P107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P106" i="2" s="1"/>
  <c r="P102" i="2"/>
  <c r="K100" i="2"/>
  <c r="J100" i="2"/>
  <c r="I100" i="2"/>
  <c r="H100" i="2"/>
  <c r="K99" i="2"/>
  <c r="J99" i="2"/>
  <c r="I99" i="2"/>
  <c r="H99" i="2"/>
  <c r="P98" i="2"/>
  <c r="L98" i="2"/>
  <c r="K98" i="2"/>
  <c r="J98" i="2"/>
  <c r="I98" i="2"/>
  <c r="M97" i="2"/>
  <c r="L97" i="2"/>
  <c r="K97" i="2"/>
  <c r="J97" i="2"/>
  <c r="P96" i="2"/>
  <c r="N96" i="2"/>
  <c r="M96" i="2"/>
  <c r="L96" i="2"/>
  <c r="K96" i="2"/>
  <c r="O95" i="2"/>
  <c r="N95" i="2"/>
  <c r="M95" i="2"/>
  <c r="L95" i="2"/>
  <c r="O94" i="2"/>
  <c r="N94" i="2"/>
  <c r="M94" i="2"/>
  <c r="L94" i="2"/>
  <c r="O93" i="2"/>
  <c r="N93" i="2"/>
  <c r="M93" i="2"/>
  <c r="L93" i="2"/>
  <c r="O92" i="2"/>
  <c r="N92" i="2"/>
  <c r="M92" i="2"/>
  <c r="L92" i="2"/>
  <c r="O91" i="2"/>
  <c r="N91" i="2"/>
  <c r="M91" i="2"/>
  <c r="L91" i="2"/>
  <c r="O90" i="2"/>
  <c r="N90" i="2"/>
  <c r="M90" i="2"/>
  <c r="L90" i="2"/>
  <c r="O89" i="2"/>
  <c r="N89" i="2"/>
  <c r="M89" i="2"/>
  <c r="L89" i="2"/>
  <c r="O88" i="2"/>
  <c r="N88" i="2"/>
  <c r="M88" i="2"/>
  <c r="L88" i="2"/>
  <c r="O87" i="2"/>
  <c r="N87" i="2"/>
  <c r="M87" i="2"/>
  <c r="L87" i="2"/>
  <c r="O82" i="2"/>
  <c r="O100" i="2" s="1"/>
  <c r="N82" i="2"/>
  <c r="N100" i="2" s="1"/>
  <c r="M82" i="2"/>
  <c r="M100" i="2" s="1"/>
  <c r="L82" i="2"/>
  <c r="L100" i="2" s="1"/>
  <c r="K82" i="2"/>
  <c r="J82" i="2"/>
  <c r="I82" i="2"/>
  <c r="H82" i="2"/>
  <c r="G82" i="2"/>
  <c r="G100" i="2" s="1"/>
  <c r="F82" i="2"/>
  <c r="F100" i="2" s="1"/>
  <c r="E82" i="2"/>
  <c r="E100" i="2" s="1"/>
  <c r="D82" i="2"/>
  <c r="D100" i="2" s="1"/>
  <c r="O81" i="2"/>
  <c r="O99" i="2" s="1"/>
  <c r="N81" i="2"/>
  <c r="N99" i="2" s="1"/>
  <c r="M81" i="2"/>
  <c r="M99" i="2" s="1"/>
  <c r="L81" i="2"/>
  <c r="L99" i="2" s="1"/>
  <c r="K81" i="2"/>
  <c r="J81" i="2"/>
  <c r="I81" i="2"/>
  <c r="H81" i="2"/>
  <c r="G81" i="2"/>
  <c r="G99" i="2" s="1"/>
  <c r="F81" i="2"/>
  <c r="F99" i="2" s="1"/>
  <c r="E81" i="2"/>
  <c r="E99" i="2" s="1"/>
  <c r="D81" i="2"/>
  <c r="D99" i="2" s="1"/>
  <c r="P80" i="2"/>
  <c r="O80" i="2"/>
  <c r="O98" i="2" s="1"/>
  <c r="N80" i="2"/>
  <c r="N98" i="2" s="1"/>
  <c r="M80" i="2"/>
  <c r="M98" i="2" s="1"/>
  <c r="L80" i="2"/>
  <c r="K80" i="2"/>
  <c r="J80" i="2"/>
  <c r="I80" i="2"/>
  <c r="H80" i="2"/>
  <c r="H98" i="2" s="1"/>
  <c r="G80" i="2"/>
  <c r="G98" i="2" s="1"/>
  <c r="F80" i="2"/>
  <c r="F98" i="2" s="1"/>
  <c r="E80" i="2"/>
  <c r="E98" i="2" s="1"/>
  <c r="D80" i="2"/>
  <c r="D98" i="2" s="1"/>
  <c r="P79" i="2"/>
  <c r="O79" i="2"/>
  <c r="O97" i="2" s="1"/>
  <c r="N79" i="2"/>
  <c r="N97" i="2" s="1"/>
  <c r="M79" i="2"/>
  <c r="L79" i="2"/>
  <c r="K79" i="2"/>
  <c r="J79" i="2"/>
  <c r="I79" i="2"/>
  <c r="I97" i="2" s="1"/>
  <c r="H79" i="2"/>
  <c r="H97" i="2" s="1"/>
  <c r="G79" i="2"/>
  <c r="G97" i="2" s="1"/>
  <c r="F79" i="2"/>
  <c r="F97" i="2" s="1"/>
  <c r="E79" i="2"/>
  <c r="E97" i="2" s="1"/>
  <c r="D79" i="2"/>
  <c r="D97" i="2" s="1"/>
  <c r="P78" i="2"/>
  <c r="O78" i="2"/>
  <c r="O96" i="2" s="1"/>
  <c r="N78" i="2"/>
  <c r="M78" i="2"/>
  <c r="L78" i="2"/>
  <c r="K78" i="2"/>
  <c r="J78" i="2"/>
  <c r="J96" i="2" s="1"/>
  <c r="I78" i="2"/>
  <c r="I96" i="2" s="1"/>
  <c r="H78" i="2"/>
  <c r="H96" i="2" s="1"/>
  <c r="G78" i="2"/>
  <c r="G96" i="2" s="1"/>
  <c r="F78" i="2"/>
  <c r="F96" i="2" s="1"/>
  <c r="E78" i="2"/>
  <c r="E96" i="2" s="1"/>
  <c r="D78" i="2"/>
  <c r="D96" i="2" s="1"/>
  <c r="O77" i="2"/>
  <c r="N77" i="2"/>
  <c r="M77" i="2"/>
  <c r="L77" i="2"/>
  <c r="K77" i="2"/>
  <c r="J77" i="2"/>
  <c r="I77" i="2"/>
  <c r="H77" i="2"/>
  <c r="G77" i="2"/>
  <c r="F77" i="2"/>
  <c r="E77" i="2"/>
  <c r="D77" i="2"/>
  <c r="D95" i="2" s="1"/>
  <c r="O76" i="2"/>
  <c r="N76" i="2"/>
  <c r="M76" i="2"/>
  <c r="L76" i="2"/>
  <c r="K76" i="2"/>
  <c r="J76" i="2"/>
  <c r="I76" i="2"/>
  <c r="H76" i="2"/>
  <c r="G76" i="2"/>
  <c r="F76" i="2"/>
  <c r="E76" i="2"/>
  <c r="D76" i="2"/>
  <c r="D94" i="2" s="1"/>
  <c r="O75" i="2"/>
  <c r="N75" i="2"/>
  <c r="M75" i="2"/>
  <c r="L75" i="2"/>
  <c r="K75" i="2"/>
  <c r="J75" i="2"/>
  <c r="I75" i="2"/>
  <c r="H75" i="2"/>
  <c r="G75" i="2"/>
  <c r="F75" i="2"/>
  <c r="E75" i="2"/>
  <c r="D75" i="2"/>
  <c r="D93" i="2" s="1"/>
  <c r="O74" i="2"/>
  <c r="N74" i="2"/>
  <c r="M74" i="2"/>
  <c r="L74" i="2"/>
  <c r="K74" i="2"/>
  <c r="J74" i="2"/>
  <c r="I74" i="2"/>
  <c r="H74" i="2"/>
  <c r="G74" i="2"/>
  <c r="F74" i="2"/>
  <c r="E74" i="2"/>
  <c r="D74" i="2"/>
  <c r="D92" i="2" s="1"/>
  <c r="O73" i="2"/>
  <c r="N73" i="2"/>
  <c r="M73" i="2"/>
  <c r="L73" i="2"/>
  <c r="K73" i="2"/>
  <c r="J73" i="2"/>
  <c r="I73" i="2"/>
  <c r="H73" i="2"/>
  <c r="G73" i="2"/>
  <c r="F73" i="2"/>
  <c r="E73" i="2"/>
  <c r="D73" i="2"/>
  <c r="D91" i="2" s="1"/>
  <c r="O72" i="2"/>
  <c r="N72" i="2"/>
  <c r="M72" i="2"/>
  <c r="L72" i="2"/>
  <c r="K72" i="2"/>
  <c r="J72" i="2"/>
  <c r="I72" i="2"/>
  <c r="H72" i="2"/>
  <c r="G72" i="2"/>
  <c r="F72" i="2"/>
  <c r="E72" i="2"/>
  <c r="D72" i="2"/>
  <c r="D90" i="2" s="1"/>
  <c r="O71" i="2"/>
  <c r="N71" i="2"/>
  <c r="M71" i="2"/>
  <c r="L71" i="2"/>
  <c r="K71" i="2"/>
  <c r="J71" i="2"/>
  <c r="I71" i="2"/>
  <c r="H71" i="2"/>
  <c r="G71" i="2"/>
  <c r="F71" i="2"/>
  <c r="E71" i="2"/>
  <c r="D71" i="2"/>
  <c r="D89" i="2" s="1"/>
  <c r="O70" i="2"/>
  <c r="N70" i="2"/>
  <c r="M70" i="2"/>
  <c r="L70" i="2"/>
  <c r="K70" i="2"/>
  <c r="J70" i="2"/>
  <c r="I70" i="2"/>
  <c r="H70" i="2"/>
  <c r="G70" i="2"/>
  <c r="F70" i="2"/>
  <c r="E70" i="2"/>
  <c r="D70" i="2"/>
  <c r="D88" i="2" s="1"/>
  <c r="O69" i="2"/>
  <c r="N69" i="2"/>
  <c r="M69" i="2"/>
  <c r="L69" i="2"/>
  <c r="K69" i="2"/>
  <c r="J69" i="2"/>
  <c r="I69" i="2"/>
  <c r="H69" i="2"/>
  <c r="G69" i="2"/>
  <c r="F69" i="2"/>
  <c r="E69" i="2"/>
  <c r="D69" i="2"/>
  <c r="P77" i="2" s="1"/>
  <c r="O66" i="2"/>
  <c r="N66" i="2"/>
  <c r="M66" i="2"/>
  <c r="L66" i="2"/>
  <c r="K66" i="2"/>
  <c r="J66" i="2"/>
  <c r="I66" i="2"/>
  <c r="H66" i="2"/>
  <c r="G66" i="2"/>
  <c r="F66" i="2"/>
  <c r="E66" i="2"/>
  <c r="E95" i="2" s="1"/>
  <c r="D66" i="2"/>
  <c r="O65" i="2"/>
  <c r="N65" i="2"/>
  <c r="M65" i="2"/>
  <c r="L65" i="2"/>
  <c r="K65" i="2"/>
  <c r="J65" i="2"/>
  <c r="I65" i="2"/>
  <c r="H65" i="2"/>
  <c r="G65" i="2"/>
  <c r="F65" i="2"/>
  <c r="E65" i="2"/>
  <c r="E94" i="2" s="1"/>
  <c r="D65" i="2"/>
  <c r="O64" i="2"/>
  <c r="N64" i="2"/>
  <c r="M64" i="2"/>
  <c r="L64" i="2"/>
  <c r="K64" i="2"/>
  <c r="J64" i="2"/>
  <c r="I64" i="2"/>
  <c r="H64" i="2"/>
  <c r="G64" i="2"/>
  <c r="F64" i="2"/>
  <c r="E64" i="2"/>
  <c r="E93" i="2" s="1"/>
  <c r="D64" i="2"/>
  <c r="O63" i="2"/>
  <c r="N63" i="2"/>
  <c r="M63" i="2"/>
  <c r="L63" i="2"/>
  <c r="K63" i="2"/>
  <c r="J63" i="2"/>
  <c r="I63" i="2"/>
  <c r="H63" i="2"/>
  <c r="G63" i="2"/>
  <c r="F63" i="2"/>
  <c r="E63" i="2"/>
  <c r="E92" i="2" s="1"/>
  <c r="D63" i="2"/>
  <c r="O62" i="2"/>
  <c r="N62" i="2"/>
  <c r="M62" i="2"/>
  <c r="L62" i="2"/>
  <c r="K62" i="2"/>
  <c r="J62" i="2"/>
  <c r="I62" i="2"/>
  <c r="H62" i="2"/>
  <c r="G62" i="2"/>
  <c r="F62" i="2"/>
  <c r="E62" i="2"/>
  <c r="E91" i="2" s="1"/>
  <c r="D62" i="2"/>
  <c r="O61" i="2"/>
  <c r="N61" i="2"/>
  <c r="M61" i="2"/>
  <c r="L61" i="2"/>
  <c r="K61" i="2"/>
  <c r="J61" i="2"/>
  <c r="I61" i="2"/>
  <c r="H61" i="2"/>
  <c r="G61" i="2"/>
  <c r="F61" i="2"/>
  <c r="E61" i="2"/>
  <c r="E90" i="2" s="1"/>
  <c r="D61" i="2"/>
  <c r="O60" i="2"/>
  <c r="N60" i="2"/>
  <c r="M60" i="2"/>
  <c r="L60" i="2"/>
  <c r="K60" i="2"/>
  <c r="J60" i="2"/>
  <c r="I60" i="2"/>
  <c r="H60" i="2"/>
  <c r="G60" i="2"/>
  <c r="F60" i="2"/>
  <c r="E60" i="2"/>
  <c r="E89" i="2" s="1"/>
  <c r="D60" i="2"/>
  <c r="O59" i="2"/>
  <c r="N59" i="2"/>
  <c r="M59" i="2"/>
  <c r="L59" i="2"/>
  <c r="K59" i="2"/>
  <c r="J59" i="2"/>
  <c r="I59" i="2"/>
  <c r="H59" i="2"/>
  <c r="G59" i="2"/>
  <c r="F59" i="2"/>
  <c r="E59" i="2"/>
  <c r="E88" i="2" s="1"/>
  <c r="D59" i="2"/>
  <c r="O58" i="2"/>
  <c r="N58" i="2"/>
  <c r="M58" i="2"/>
  <c r="L58" i="2"/>
  <c r="K58" i="2"/>
  <c r="J58" i="2"/>
  <c r="I58" i="2"/>
  <c r="H58" i="2"/>
  <c r="G58" i="2"/>
  <c r="F58" i="2"/>
  <c r="E58" i="2"/>
  <c r="E87" i="2" s="1"/>
  <c r="D58" i="2"/>
  <c r="P66" i="2" s="1"/>
  <c r="O55" i="2"/>
  <c r="N55" i="2"/>
  <c r="M55" i="2"/>
  <c r="L55" i="2"/>
  <c r="K55" i="2"/>
  <c r="K95" i="2" s="1"/>
  <c r="J55" i="2"/>
  <c r="J95" i="2" s="1"/>
  <c r="I55" i="2"/>
  <c r="I95" i="2" s="1"/>
  <c r="H55" i="2"/>
  <c r="H95" i="2" s="1"/>
  <c r="G55" i="2"/>
  <c r="G95" i="2" s="1"/>
  <c r="F55" i="2"/>
  <c r="F95" i="2" s="1"/>
  <c r="E55" i="2"/>
  <c r="D55" i="2"/>
  <c r="O54" i="2"/>
  <c r="N54" i="2"/>
  <c r="M54" i="2"/>
  <c r="L54" i="2"/>
  <c r="K54" i="2"/>
  <c r="K94" i="2" s="1"/>
  <c r="J54" i="2"/>
  <c r="J94" i="2" s="1"/>
  <c r="I54" i="2"/>
  <c r="I94" i="2" s="1"/>
  <c r="H54" i="2"/>
  <c r="H94" i="2" s="1"/>
  <c r="G54" i="2"/>
  <c r="G94" i="2" s="1"/>
  <c r="F54" i="2"/>
  <c r="F94" i="2" s="1"/>
  <c r="E54" i="2"/>
  <c r="D54" i="2"/>
  <c r="O53" i="2"/>
  <c r="N53" i="2"/>
  <c r="M53" i="2"/>
  <c r="L53" i="2"/>
  <c r="K53" i="2"/>
  <c r="K93" i="2" s="1"/>
  <c r="J53" i="2"/>
  <c r="J93" i="2" s="1"/>
  <c r="I53" i="2"/>
  <c r="I93" i="2" s="1"/>
  <c r="H53" i="2"/>
  <c r="H93" i="2" s="1"/>
  <c r="G53" i="2"/>
  <c r="G93" i="2" s="1"/>
  <c r="F53" i="2"/>
  <c r="F93" i="2" s="1"/>
  <c r="E53" i="2"/>
  <c r="D53" i="2"/>
  <c r="O52" i="2"/>
  <c r="N52" i="2"/>
  <c r="M52" i="2"/>
  <c r="L52" i="2"/>
  <c r="K52" i="2"/>
  <c r="K92" i="2" s="1"/>
  <c r="J52" i="2"/>
  <c r="J92" i="2" s="1"/>
  <c r="I52" i="2"/>
  <c r="I92" i="2" s="1"/>
  <c r="H52" i="2"/>
  <c r="H92" i="2" s="1"/>
  <c r="G52" i="2"/>
  <c r="G92" i="2" s="1"/>
  <c r="F52" i="2"/>
  <c r="F92" i="2" s="1"/>
  <c r="E52" i="2"/>
  <c r="D52" i="2"/>
  <c r="O51" i="2"/>
  <c r="N51" i="2"/>
  <c r="M51" i="2"/>
  <c r="L51" i="2"/>
  <c r="K51" i="2"/>
  <c r="K91" i="2" s="1"/>
  <c r="J51" i="2"/>
  <c r="J91" i="2" s="1"/>
  <c r="I51" i="2"/>
  <c r="I91" i="2" s="1"/>
  <c r="H51" i="2"/>
  <c r="H91" i="2" s="1"/>
  <c r="G51" i="2"/>
  <c r="G91" i="2" s="1"/>
  <c r="F51" i="2"/>
  <c r="F91" i="2" s="1"/>
  <c r="E51" i="2"/>
  <c r="D51" i="2"/>
  <c r="O50" i="2"/>
  <c r="N50" i="2"/>
  <c r="M50" i="2"/>
  <c r="L50" i="2"/>
  <c r="K50" i="2"/>
  <c r="K90" i="2" s="1"/>
  <c r="J50" i="2"/>
  <c r="J90" i="2" s="1"/>
  <c r="I50" i="2"/>
  <c r="I90" i="2" s="1"/>
  <c r="H50" i="2"/>
  <c r="H90" i="2" s="1"/>
  <c r="G50" i="2"/>
  <c r="G90" i="2" s="1"/>
  <c r="F50" i="2"/>
  <c r="F90" i="2" s="1"/>
  <c r="E50" i="2"/>
  <c r="D50" i="2"/>
  <c r="O49" i="2"/>
  <c r="N49" i="2"/>
  <c r="M49" i="2"/>
  <c r="L49" i="2"/>
  <c r="K49" i="2"/>
  <c r="K89" i="2" s="1"/>
  <c r="J49" i="2"/>
  <c r="J89" i="2" s="1"/>
  <c r="I49" i="2"/>
  <c r="I89" i="2" s="1"/>
  <c r="H49" i="2"/>
  <c r="H89" i="2" s="1"/>
  <c r="G49" i="2"/>
  <c r="G89" i="2" s="1"/>
  <c r="F49" i="2"/>
  <c r="F89" i="2" s="1"/>
  <c r="E49" i="2"/>
  <c r="D49" i="2"/>
  <c r="O48" i="2"/>
  <c r="N48" i="2"/>
  <c r="M48" i="2"/>
  <c r="L48" i="2"/>
  <c r="K48" i="2"/>
  <c r="K88" i="2" s="1"/>
  <c r="J48" i="2"/>
  <c r="J88" i="2" s="1"/>
  <c r="I48" i="2"/>
  <c r="I88" i="2" s="1"/>
  <c r="H48" i="2"/>
  <c r="H88" i="2" s="1"/>
  <c r="G48" i="2"/>
  <c r="G88" i="2" s="1"/>
  <c r="F48" i="2"/>
  <c r="F88" i="2" s="1"/>
  <c r="E48" i="2"/>
  <c r="D48" i="2"/>
  <c r="O47" i="2"/>
  <c r="N47" i="2"/>
  <c r="M47" i="2"/>
  <c r="L47" i="2"/>
  <c r="K47" i="2"/>
  <c r="K87" i="2" s="1"/>
  <c r="J47" i="2"/>
  <c r="J87" i="2" s="1"/>
  <c r="I47" i="2"/>
  <c r="I87" i="2" s="1"/>
  <c r="H47" i="2"/>
  <c r="H87" i="2" s="1"/>
  <c r="G47" i="2"/>
  <c r="G87" i="2" s="1"/>
  <c r="F47" i="2"/>
  <c r="F87" i="2" s="1"/>
  <c r="E47" i="2"/>
  <c r="D47" i="2"/>
  <c r="P55" i="2" s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AG125" i="1" s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AG124" i="1" s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AG123" i="1" s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AG122" i="1" s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AG121" i="1" s="1"/>
  <c r="AG118" i="1"/>
  <c r="AG116" i="1"/>
  <c r="AG115" i="1"/>
  <c r="AG113" i="1"/>
  <c r="AG112" i="1"/>
  <c r="AH118" i="1" s="1"/>
  <c r="AG109" i="1"/>
  <c r="AG107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AG106" i="1" s="1"/>
  <c r="AG102" i="1"/>
  <c r="AF100" i="1"/>
  <c r="V100" i="1"/>
  <c r="U100" i="1"/>
  <c r="AF99" i="1"/>
  <c r="V99" i="1"/>
  <c r="U99" i="1"/>
  <c r="AG98" i="1"/>
  <c r="W98" i="1"/>
  <c r="V98" i="1"/>
  <c r="U98" i="1"/>
  <c r="X97" i="1"/>
  <c r="W97" i="1"/>
  <c r="V97" i="1"/>
  <c r="U97" i="1"/>
  <c r="Y96" i="1"/>
  <c r="X96" i="1"/>
  <c r="W96" i="1"/>
  <c r="V96" i="1"/>
  <c r="Z95" i="1"/>
  <c r="Y95" i="1"/>
  <c r="X95" i="1"/>
  <c r="W95" i="1"/>
  <c r="Z94" i="1"/>
  <c r="Y94" i="1"/>
  <c r="X94" i="1"/>
  <c r="W94" i="1"/>
  <c r="Z93" i="1"/>
  <c r="Y93" i="1"/>
  <c r="X93" i="1"/>
  <c r="W93" i="1"/>
  <c r="Z92" i="1"/>
  <c r="Y92" i="1"/>
  <c r="X92" i="1"/>
  <c r="W92" i="1"/>
  <c r="Z91" i="1"/>
  <c r="Y91" i="1"/>
  <c r="X91" i="1"/>
  <c r="W91" i="1"/>
  <c r="Z90" i="1"/>
  <c r="Y90" i="1"/>
  <c r="X90" i="1"/>
  <c r="W90" i="1"/>
  <c r="Z89" i="1"/>
  <c r="Y89" i="1"/>
  <c r="X89" i="1"/>
  <c r="W89" i="1"/>
  <c r="Z88" i="1"/>
  <c r="Y88" i="1"/>
  <c r="X88" i="1"/>
  <c r="W88" i="1"/>
  <c r="Z87" i="1"/>
  <c r="Y87" i="1"/>
  <c r="X87" i="1"/>
  <c r="W87" i="1"/>
  <c r="AF82" i="1"/>
  <c r="AE82" i="1"/>
  <c r="AE100" i="1" s="1"/>
  <c r="AD82" i="1"/>
  <c r="AD100" i="1" s="1"/>
  <c r="AC82" i="1"/>
  <c r="AC100" i="1" s="1"/>
  <c r="AB82" i="1"/>
  <c r="AB100" i="1" s="1"/>
  <c r="AA82" i="1"/>
  <c r="AA100" i="1" s="1"/>
  <c r="Z82" i="1"/>
  <c r="Z100" i="1" s="1"/>
  <c r="Y82" i="1"/>
  <c r="Y100" i="1" s="1"/>
  <c r="X82" i="1"/>
  <c r="X100" i="1" s="1"/>
  <c r="W82" i="1"/>
  <c r="W100" i="1" s="1"/>
  <c r="V82" i="1"/>
  <c r="U82" i="1"/>
  <c r="AF81" i="1"/>
  <c r="AE81" i="1"/>
  <c r="AE99" i="1" s="1"/>
  <c r="AD81" i="1"/>
  <c r="AD99" i="1" s="1"/>
  <c r="AC81" i="1"/>
  <c r="AC99" i="1" s="1"/>
  <c r="AB81" i="1"/>
  <c r="AB99" i="1" s="1"/>
  <c r="AA81" i="1"/>
  <c r="AA99" i="1" s="1"/>
  <c r="Z81" i="1"/>
  <c r="Z99" i="1" s="1"/>
  <c r="Y81" i="1"/>
  <c r="Y99" i="1" s="1"/>
  <c r="X81" i="1"/>
  <c r="X99" i="1" s="1"/>
  <c r="W81" i="1"/>
  <c r="W99" i="1" s="1"/>
  <c r="V81" i="1"/>
  <c r="U81" i="1"/>
  <c r="AG80" i="1"/>
  <c r="AF80" i="1"/>
  <c r="AF98" i="1" s="1"/>
  <c r="AE80" i="1"/>
  <c r="AE98" i="1" s="1"/>
  <c r="AD80" i="1"/>
  <c r="AD98" i="1" s="1"/>
  <c r="AC80" i="1"/>
  <c r="AC98" i="1" s="1"/>
  <c r="AB80" i="1"/>
  <c r="AB98" i="1" s="1"/>
  <c r="AA80" i="1"/>
  <c r="AA98" i="1" s="1"/>
  <c r="Z80" i="1"/>
  <c r="Z98" i="1" s="1"/>
  <c r="Y80" i="1"/>
  <c r="Y98" i="1" s="1"/>
  <c r="X80" i="1"/>
  <c r="X98" i="1" s="1"/>
  <c r="W80" i="1"/>
  <c r="V80" i="1"/>
  <c r="U80" i="1"/>
  <c r="AG79" i="1"/>
  <c r="AF79" i="1"/>
  <c r="AF97" i="1" s="1"/>
  <c r="AE79" i="1"/>
  <c r="AE97" i="1" s="1"/>
  <c r="AD79" i="1"/>
  <c r="AD97" i="1" s="1"/>
  <c r="AC79" i="1"/>
  <c r="AC97" i="1" s="1"/>
  <c r="AB79" i="1"/>
  <c r="AB97" i="1" s="1"/>
  <c r="AA79" i="1"/>
  <c r="AA97" i="1" s="1"/>
  <c r="Z79" i="1"/>
  <c r="Z97" i="1" s="1"/>
  <c r="Y79" i="1"/>
  <c r="Y97" i="1" s="1"/>
  <c r="X79" i="1"/>
  <c r="W79" i="1"/>
  <c r="V79" i="1"/>
  <c r="U79" i="1"/>
  <c r="AG78" i="1"/>
  <c r="AF78" i="1"/>
  <c r="AF96" i="1" s="1"/>
  <c r="AE78" i="1"/>
  <c r="AE96" i="1" s="1"/>
  <c r="AD78" i="1"/>
  <c r="AD96" i="1" s="1"/>
  <c r="AC78" i="1"/>
  <c r="AC96" i="1" s="1"/>
  <c r="AB78" i="1"/>
  <c r="AB96" i="1" s="1"/>
  <c r="AA78" i="1"/>
  <c r="AA96" i="1" s="1"/>
  <c r="Z78" i="1"/>
  <c r="Z96" i="1" s="1"/>
  <c r="Y78" i="1"/>
  <c r="X78" i="1"/>
  <c r="W78" i="1"/>
  <c r="V78" i="1"/>
  <c r="U78" i="1"/>
  <c r="U96" i="1" s="1"/>
  <c r="AF77" i="1"/>
  <c r="AE77" i="1"/>
  <c r="AD77" i="1"/>
  <c r="AC77" i="1"/>
  <c r="AB77" i="1"/>
  <c r="AA77" i="1"/>
  <c r="AA95" i="1" s="1"/>
  <c r="Z77" i="1"/>
  <c r="Y77" i="1"/>
  <c r="X77" i="1"/>
  <c r="W77" i="1"/>
  <c r="V77" i="1"/>
  <c r="U77" i="1"/>
  <c r="AF76" i="1"/>
  <c r="AE76" i="1"/>
  <c r="AD76" i="1"/>
  <c r="AC76" i="1"/>
  <c r="AB76" i="1"/>
  <c r="AA76" i="1"/>
  <c r="AA94" i="1" s="1"/>
  <c r="Z76" i="1"/>
  <c r="Y76" i="1"/>
  <c r="X76" i="1"/>
  <c r="W76" i="1"/>
  <c r="V76" i="1"/>
  <c r="U76" i="1"/>
  <c r="AF75" i="1"/>
  <c r="AE75" i="1"/>
  <c r="AD75" i="1"/>
  <c r="AC75" i="1"/>
  <c r="AB75" i="1"/>
  <c r="AA75" i="1"/>
  <c r="AA93" i="1" s="1"/>
  <c r="Z75" i="1"/>
  <c r="Y75" i="1"/>
  <c r="X75" i="1"/>
  <c r="W75" i="1"/>
  <c r="V75" i="1"/>
  <c r="U75" i="1"/>
  <c r="AF74" i="1"/>
  <c r="AE74" i="1"/>
  <c r="AD74" i="1"/>
  <c r="AC74" i="1"/>
  <c r="AB74" i="1"/>
  <c r="AA74" i="1"/>
  <c r="AA92" i="1" s="1"/>
  <c r="Z74" i="1"/>
  <c r="Y74" i="1"/>
  <c r="X74" i="1"/>
  <c r="W74" i="1"/>
  <c r="V74" i="1"/>
  <c r="U74" i="1"/>
  <c r="AF73" i="1"/>
  <c r="AE73" i="1"/>
  <c r="AD73" i="1"/>
  <c r="AC73" i="1"/>
  <c r="AB73" i="1"/>
  <c r="AA73" i="1"/>
  <c r="AA91" i="1" s="1"/>
  <c r="Z73" i="1"/>
  <c r="Y73" i="1"/>
  <c r="X73" i="1"/>
  <c r="W73" i="1"/>
  <c r="V73" i="1"/>
  <c r="U73" i="1"/>
  <c r="AF72" i="1"/>
  <c r="AE72" i="1"/>
  <c r="AD72" i="1"/>
  <c r="AC72" i="1"/>
  <c r="AB72" i="1"/>
  <c r="AA72" i="1"/>
  <c r="AA90" i="1" s="1"/>
  <c r="Z72" i="1"/>
  <c r="Y72" i="1"/>
  <c r="X72" i="1"/>
  <c r="W72" i="1"/>
  <c r="V72" i="1"/>
  <c r="U72" i="1"/>
  <c r="AF71" i="1"/>
  <c r="AE71" i="1"/>
  <c r="AD71" i="1"/>
  <c r="AC71" i="1"/>
  <c r="AB71" i="1"/>
  <c r="AA71" i="1"/>
  <c r="AA89" i="1" s="1"/>
  <c r="Z71" i="1"/>
  <c r="Y71" i="1"/>
  <c r="X71" i="1"/>
  <c r="W71" i="1"/>
  <c r="V71" i="1"/>
  <c r="U71" i="1"/>
  <c r="AF70" i="1"/>
  <c r="AE70" i="1"/>
  <c r="AD70" i="1"/>
  <c r="AC70" i="1"/>
  <c r="AB70" i="1"/>
  <c r="AA70" i="1"/>
  <c r="AA88" i="1" s="1"/>
  <c r="Z70" i="1"/>
  <c r="Y70" i="1"/>
  <c r="X70" i="1"/>
  <c r="W70" i="1"/>
  <c r="V70" i="1"/>
  <c r="U70" i="1"/>
  <c r="AF69" i="1"/>
  <c r="AE69" i="1"/>
  <c r="AD69" i="1"/>
  <c r="AC69" i="1"/>
  <c r="AB69" i="1"/>
  <c r="AA69" i="1"/>
  <c r="AA87" i="1" s="1"/>
  <c r="Z69" i="1"/>
  <c r="Y69" i="1"/>
  <c r="X69" i="1"/>
  <c r="W69" i="1"/>
  <c r="V69" i="1"/>
  <c r="U69" i="1"/>
  <c r="AG77" i="1" s="1"/>
  <c r="AF66" i="1"/>
  <c r="AE66" i="1"/>
  <c r="AD66" i="1"/>
  <c r="AC66" i="1"/>
  <c r="AB66" i="1"/>
  <c r="AB95" i="1" s="1"/>
  <c r="AA66" i="1"/>
  <c r="Z66" i="1"/>
  <c r="Y66" i="1"/>
  <c r="X66" i="1"/>
  <c r="W66" i="1"/>
  <c r="V66" i="1"/>
  <c r="U66" i="1"/>
  <c r="AF65" i="1"/>
  <c r="AE65" i="1"/>
  <c r="AD65" i="1"/>
  <c r="AC65" i="1"/>
  <c r="AB65" i="1"/>
  <c r="AB94" i="1" s="1"/>
  <c r="AA65" i="1"/>
  <c r="Z65" i="1"/>
  <c r="Y65" i="1"/>
  <c r="X65" i="1"/>
  <c r="W65" i="1"/>
  <c r="V65" i="1"/>
  <c r="U65" i="1"/>
  <c r="AF64" i="1"/>
  <c r="AE64" i="1"/>
  <c r="AD64" i="1"/>
  <c r="AC64" i="1"/>
  <c r="AB64" i="1"/>
  <c r="AB93" i="1" s="1"/>
  <c r="AA64" i="1"/>
  <c r="Z64" i="1"/>
  <c r="Y64" i="1"/>
  <c r="X64" i="1"/>
  <c r="W64" i="1"/>
  <c r="V64" i="1"/>
  <c r="U64" i="1"/>
  <c r="AF63" i="1"/>
  <c r="AE63" i="1"/>
  <c r="AD63" i="1"/>
  <c r="AC63" i="1"/>
  <c r="AB63" i="1"/>
  <c r="AB92" i="1" s="1"/>
  <c r="AA63" i="1"/>
  <c r="Z63" i="1"/>
  <c r="Y63" i="1"/>
  <c r="X63" i="1"/>
  <c r="W63" i="1"/>
  <c r="V63" i="1"/>
  <c r="U63" i="1"/>
  <c r="AF62" i="1"/>
  <c r="AE62" i="1"/>
  <c r="AD62" i="1"/>
  <c r="AC62" i="1"/>
  <c r="AB62" i="1"/>
  <c r="AB91" i="1" s="1"/>
  <c r="AA62" i="1"/>
  <c r="Z62" i="1"/>
  <c r="Y62" i="1"/>
  <c r="X62" i="1"/>
  <c r="W62" i="1"/>
  <c r="V62" i="1"/>
  <c r="U62" i="1"/>
  <c r="AF61" i="1"/>
  <c r="AE61" i="1"/>
  <c r="AD61" i="1"/>
  <c r="AC61" i="1"/>
  <c r="AB61" i="1"/>
  <c r="AB90" i="1" s="1"/>
  <c r="AA61" i="1"/>
  <c r="Z61" i="1"/>
  <c r="Y61" i="1"/>
  <c r="X61" i="1"/>
  <c r="W61" i="1"/>
  <c r="V61" i="1"/>
  <c r="U61" i="1"/>
  <c r="AF60" i="1"/>
  <c r="AE60" i="1"/>
  <c r="AD60" i="1"/>
  <c r="AC60" i="1"/>
  <c r="AB60" i="1"/>
  <c r="AB89" i="1" s="1"/>
  <c r="AA60" i="1"/>
  <c r="Z60" i="1"/>
  <c r="Y60" i="1"/>
  <c r="X60" i="1"/>
  <c r="W60" i="1"/>
  <c r="V60" i="1"/>
  <c r="U60" i="1"/>
  <c r="AF59" i="1"/>
  <c r="AE59" i="1"/>
  <c r="AD59" i="1"/>
  <c r="AC59" i="1"/>
  <c r="AB59" i="1"/>
  <c r="AB88" i="1" s="1"/>
  <c r="AA59" i="1"/>
  <c r="Z59" i="1"/>
  <c r="Y59" i="1"/>
  <c r="X59" i="1"/>
  <c r="W59" i="1"/>
  <c r="V59" i="1"/>
  <c r="U59" i="1"/>
  <c r="AF58" i="1"/>
  <c r="AE58" i="1"/>
  <c r="AD58" i="1"/>
  <c r="AC58" i="1"/>
  <c r="AB58" i="1"/>
  <c r="AB87" i="1" s="1"/>
  <c r="AA58" i="1"/>
  <c r="Z58" i="1"/>
  <c r="Y58" i="1"/>
  <c r="X58" i="1"/>
  <c r="W58" i="1"/>
  <c r="V58" i="1"/>
  <c r="U58" i="1"/>
  <c r="AG66" i="1" s="1"/>
  <c r="AF55" i="1"/>
  <c r="AF95" i="1" s="1"/>
  <c r="AE55" i="1"/>
  <c r="AE95" i="1" s="1"/>
  <c r="AD55" i="1"/>
  <c r="AD95" i="1" s="1"/>
  <c r="AC55" i="1"/>
  <c r="AC95" i="1" s="1"/>
  <c r="AB55" i="1"/>
  <c r="AA55" i="1"/>
  <c r="Z55" i="1"/>
  <c r="Y55" i="1"/>
  <c r="X55" i="1"/>
  <c r="W55" i="1"/>
  <c r="V55" i="1"/>
  <c r="V95" i="1" s="1"/>
  <c r="U55" i="1"/>
  <c r="U95" i="1" s="1"/>
  <c r="AF54" i="1"/>
  <c r="AG96" i="1" s="1"/>
  <c r="AE54" i="1"/>
  <c r="AE94" i="1" s="1"/>
  <c r="AD54" i="1"/>
  <c r="AD94" i="1" s="1"/>
  <c r="AC54" i="1"/>
  <c r="AC94" i="1" s="1"/>
  <c r="AB54" i="1"/>
  <c r="AA54" i="1"/>
  <c r="Z54" i="1"/>
  <c r="Y54" i="1"/>
  <c r="X54" i="1"/>
  <c r="W54" i="1"/>
  <c r="V54" i="1"/>
  <c r="V94" i="1" s="1"/>
  <c r="U54" i="1"/>
  <c r="U94" i="1" s="1"/>
  <c r="AF53" i="1"/>
  <c r="AF93" i="1" s="1"/>
  <c r="AE53" i="1"/>
  <c r="AE93" i="1" s="1"/>
  <c r="AD53" i="1"/>
  <c r="AD93" i="1" s="1"/>
  <c r="AC53" i="1"/>
  <c r="AC93" i="1" s="1"/>
  <c r="AB53" i="1"/>
  <c r="AA53" i="1"/>
  <c r="Z53" i="1"/>
  <c r="Y53" i="1"/>
  <c r="X53" i="1"/>
  <c r="W53" i="1"/>
  <c r="V53" i="1"/>
  <c r="V93" i="1" s="1"/>
  <c r="U53" i="1"/>
  <c r="U93" i="1" s="1"/>
  <c r="AF52" i="1"/>
  <c r="AF92" i="1" s="1"/>
  <c r="AE52" i="1"/>
  <c r="AE92" i="1" s="1"/>
  <c r="AD52" i="1"/>
  <c r="AD92" i="1" s="1"/>
  <c r="AC52" i="1"/>
  <c r="AC92" i="1" s="1"/>
  <c r="AB52" i="1"/>
  <c r="AA52" i="1"/>
  <c r="Z52" i="1"/>
  <c r="Y52" i="1"/>
  <c r="X52" i="1"/>
  <c r="W52" i="1"/>
  <c r="V52" i="1"/>
  <c r="V92" i="1" s="1"/>
  <c r="U52" i="1"/>
  <c r="U92" i="1" s="1"/>
  <c r="AF51" i="1"/>
  <c r="AF91" i="1" s="1"/>
  <c r="AE51" i="1"/>
  <c r="AE91" i="1" s="1"/>
  <c r="AD51" i="1"/>
  <c r="AD91" i="1" s="1"/>
  <c r="AC51" i="1"/>
  <c r="AC91" i="1" s="1"/>
  <c r="AB51" i="1"/>
  <c r="AA51" i="1"/>
  <c r="Z51" i="1"/>
  <c r="Y51" i="1"/>
  <c r="X51" i="1"/>
  <c r="W51" i="1"/>
  <c r="V51" i="1"/>
  <c r="V91" i="1" s="1"/>
  <c r="U51" i="1"/>
  <c r="U91" i="1" s="1"/>
  <c r="AF50" i="1"/>
  <c r="AF90" i="1" s="1"/>
  <c r="AE50" i="1"/>
  <c r="AE90" i="1" s="1"/>
  <c r="AD50" i="1"/>
  <c r="AD90" i="1" s="1"/>
  <c r="AC50" i="1"/>
  <c r="AC90" i="1" s="1"/>
  <c r="AB50" i="1"/>
  <c r="AA50" i="1"/>
  <c r="Z50" i="1"/>
  <c r="Y50" i="1"/>
  <c r="X50" i="1"/>
  <c r="W50" i="1"/>
  <c r="V50" i="1"/>
  <c r="V90" i="1" s="1"/>
  <c r="U50" i="1"/>
  <c r="U90" i="1" s="1"/>
  <c r="AF49" i="1"/>
  <c r="AF89" i="1" s="1"/>
  <c r="AE49" i="1"/>
  <c r="AE89" i="1" s="1"/>
  <c r="AD49" i="1"/>
  <c r="AD89" i="1" s="1"/>
  <c r="AC49" i="1"/>
  <c r="AC89" i="1" s="1"/>
  <c r="AB49" i="1"/>
  <c r="AA49" i="1"/>
  <c r="Z49" i="1"/>
  <c r="Y49" i="1"/>
  <c r="X49" i="1"/>
  <c r="W49" i="1"/>
  <c r="V49" i="1"/>
  <c r="V89" i="1" s="1"/>
  <c r="U49" i="1"/>
  <c r="U89" i="1" s="1"/>
  <c r="AF48" i="1"/>
  <c r="AF88" i="1" s="1"/>
  <c r="AE48" i="1"/>
  <c r="AE88" i="1" s="1"/>
  <c r="AD48" i="1"/>
  <c r="AD88" i="1" s="1"/>
  <c r="AC48" i="1"/>
  <c r="AC88" i="1" s="1"/>
  <c r="AB48" i="1"/>
  <c r="AA48" i="1"/>
  <c r="Z48" i="1"/>
  <c r="Y48" i="1"/>
  <c r="X48" i="1"/>
  <c r="W48" i="1"/>
  <c r="V48" i="1"/>
  <c r="V88" i="1" s="1"/>
  <c r="U48" i="1"/>
  <c r="U88" i="1" s="1"/>
  <c r="AF47" i="1"/>
  <c r="AF87" i="1" s="1"/>
  <c r="AE47" i="1"/>
  <c r="AE87" i="1" s="1"/>
  <c r="AD47" i="1"/>
  <c r="AD87" i="1" s="1"/>
  <c r="AC47" i="1"/>
  <c r="AC87" i="1" s="1"/>
  <c r="AB47" i="1"/>
  <c r="AA47" i="1"/>
  <c r="Z47" i="1"/>
  <c r="Y47" i="1"/>
  <c r="X47" i="1"/>
  <c r="W47" i="1"/>
  <c r="V47" i="1"/>
  <c r="V87" i="1" s="1"/>
  <c r="U47" i="1"/>
  <c r="U87" i="1" s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V41" i="1" s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V40" i="1" s="1"/>
  <c r="P127" i="2" l="1"/>
  <c r="O127" i="2" s="1"/>
  <c r="D87" i="2"/>
  <c r="AG127" i="1"/>
  <c r="AH125" i="1"/>
  <c r="AW41" i="1"/>
  <c r="AG95" i="1"/>
  <c r="AG100" i="1"/>
  <c r="AG55" i="1"/>
  <c r="AH127" i="1"/>
  <c r="AF94" i="1"/>
  <c r="P100" i="2" l="1"/>
  <c r="P95" i="2"/>
  <c r="AF127" i="1"/>
</calcChain>
</file>

<file path=xl/sharedStrings.xml><?xml version="1.0" encoding="utf-8"?>
<sst xmlns="http://schemas.openxmlformats.org/spreadsheetml/2006/main" count="568" uniqueCount="56">
  <si>
    <t>計算用</t>
  </si>
  <si>
    <t>台数のみ</t>
  </si>
  <si>
    <t>ASIS</t>
    <phoneticPr fontId="2"/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</si>
  <si>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</si>
  <si>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</si>
  <si>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</si>
  <si>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</si>
  <si>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</si>
  <si>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</si>
  <si>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</si>
  <si>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</si>
  <si>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</si>
  <si>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</si>
  <si>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</si>
  <si>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</si>
  <si>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</t>
    <rPh sb="0" eb="2">
      <t>ゴウケイ</t>
    </rPh>
    <phoneticPr fontId="2"/>
  </si>
  <si>
    <t>HP Elite SFF 800 G9 PC (4G087AV)</t>
  </si>
  <si>
    <t>LIFE BOOK U9313</t>
  </si>
  <si>
    <t>SurfacePro8</t>
  </si>
  <si>
    <t>ThinkPad L13Gen2</t>
  </si>
  <si>
    <t>ThinkPad X13 Gen 4</t>
  </si>
  <si>
    <t>ThinkPad X13 Gen5</t>
  </si>
  <si>
    <t>ThinkPad X13Gen3</t>
  </si>
  <si>
    <t>ThinkPad X13Gen3 PN</t>
  </si>
  <si>
    <t>ThinkPadL13Gen4</t>
  </si>
  <si>
    <t>返却</t>
    <rPh sb="0" eb="2">
      <t>ヘンキャク</t>
    </rPh>
    <phoneticPr fontId="2"/>
  </si>
  <si>
    <t>新規</t>
    <rPh sb="0" eb="2">
      <t>シンキ</t>
    </rPh>
    <phoneticPr fontId="2"/>
  </si>
  <si>
    <t>1月</t>
    <rPh sb="1" eb="2">
      <t>ガツ</t>
    </rPh>
    <phoneticPr fontId="4"/>
  </si>
  <si>
    <t>フロントPC</t>
  </si>
  <si>
    <t>新規</t>
  </si>
  <si>
    <t>バックPC</t>
  </si>
  <si>
    <t>ハイスペックPC</t>
  </si>
  <si>
    <t>リプレース</t>
  </si>
  <si>
    <t>予算</t>
    <rPh sb="0" eb="2">
      <t>ヨサン</t>
    </rPh>
    <phoneticPr fontId="4"/>
  </si>
  <si>
    <t>差額</t>
    <rPh sb="0" eb="2">
      <t>サガク</t>
    </rPh>
    <phoneticPr fontId="4"/>
  </si>
  <si>
    <t>支払（予測）</t>
    <rPh sb="0" eb="2">
      <t>シハライ</t>
    </rPh>
    <rPh sb="3" eb="5">
      <t>ヨソク</t>
    </rPh>
    <phoneticPr fontId="4"/>
  </si>
  <si>
    <t>現行</t>
  </si>
  <si>
    <t>変更不可（自動計算）</t>
  </si>
  <si>
    <t>金額</t>
    <rPh sb="0" eb="2">
      <t>キンガク</t>
    </rPh>
    <phoneticPr fontId="2"/>
  </si>
  <si>
    <t>削減</t>
  </si>
  <si>
    <t>合算</t>
  </si>
  <si>
    <t>三菱HCｷｬﾋﾟﾀﾙITﾊﾟｰﾄﾅｰｽﾞ㈱</t>
  </si>
  <si>
    <t>ｿﾌﾄﾊﾞﾝｸ㈱</t>
  </si>
  <si>
    <t>ThinkPad X13 Gen3</t>
  </si>
  <si>
    <t>ThinkPad X13 Gen4</t>
  </si>
  <si>
    <t>ﾊﾟｼﾌｨｯｸﾈｯﾄ㈱</t>
  </si>
  <si>
    <t> </t>
  </si>
  <si>
    <t>横河ﾚﾝﾀ･ﾘｰｽ㈱</t>
  </si>
  <si>
    <t>ThinkPad L13 Gen2</t>
  </si>
  <si>
    <t>Surface Pro8</t>
  </si>
  <si>
    <t>ThinkPadL13Gen4（Gen2の交換機）</t>
  </si>
  <si>
    <t>Pacific Net 価格</t>
  </si>
  <si>
    <t>Unit price</t>
    <phoneticPr fontId="2"/>
  </si>
  <si>
    <t>Return</t>
    <phoneticPr fontId="2"/>
  </si>
  <si>
    <t>New</t>
    <phoneticPr fontId="2"/>
  </si>
  <si>
    <t>列1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</si>
</sst>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6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38" fontId="5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2">
    <xf numFmtId="0" fontId="0" fillId="0" borderId="0" xfId="0"/>
    <xf numFmtId="0" fontId="0" fillId="0" borderId="0" xfId="2" applyFont="1">
      <alignment vertical="center"/>
    </xf>
    <xf numFmtId="0" fontId="0" fillId="2" borderId="0" xfId="2" applyFont="1" applyFill="1">
      <alignment vertical="center"/>
    </xf>
    <xf numFmtId="41" fontId="0" fillId="0" borderId="0" xfId="2" applyNumberFormat="1" applyFont="1">
      <alignment vertical="center"/>
    </xf>
    <xf numFmtId="0" fontId="0" fillId="3" borderId="0" xfId="2" applyFont="1" applyFill="1">
      <alignment vertical="center"/>
    </xf>
    <xf numFmtId="0" fontId="3" fillId="3" borderId="0" xfId="2" applyFont="1" applyFill="1" applyAlignment="1"/>
    <xf numFmtId="41" fontId="3" fillId="3" borderId="0" xfId="2" applyNumberFormat="1" applyFont="1" applyFill="1" applyAlignment="1"/>
    <xf numFmtId="0" fontId="0" fillId="3" borderId="0" xfId="2" applyFont="1" applyFill="1" applyAlignment="1">
      <alignment horizontal="left" vertical="center"/>
    </xf>
    <xf numFmtId="41" fontId="0" fillId="3" borderId="0" xfId="2" applyNumberFormat="1" applyFont="1" applyFill="1">
      <alignment vertical="center"/>
    </xf>
    <xf numFmtId="0" fontId="0" fillId="0" borderId="0" xfId="2" applyFont="1" applyAlignment="1">
      <alignment horizontal="left" vertical="center"/>
    </xf>
    <xf numFmtId="0" fontId="0" fillId="4" borderId="0" xfId="2" applyFont="1" applyFill="1">
      <alignment vertical="center"/>
    </xf>
    <xf numFmtId="0" fontId="3" fillId="4" borderId="0" xfId="2" applyFont="1" applyFill="1" applyAlignment="1"/>
    <xf numFmtId="41" fontId="3" fillId="4" borderId="0" xfId="2" applyNumberFormat="1" applyFont="1" applyFill="1" applyAlignment="1"/>
    <xf numFmtId="0" fontId="0" fillId="4" borderId="0" xfId="2" applyFont="1" applyFill="1" applyAlignment="1">
      <alignment horizontal="left" vertical="center"/>
    </xf>
    <xf numFmtId="41" fontId="0" fillId="4" borderId="0" xfId="2" applyNumberFormat="1" applyFont="1" applyFill="1">
      <alignment vertical="center"/>
    </xf>
    <xf numFmtId="0" fontId="0" fillId="5" borderId="0" xfId="2" applyFont="1" applyFill="1">
      <alignment vertical="center"/>
    </xf>
    <xf numFmtId="0" fontId="3" fillId="5" borderId="0" xfId="2" applyFont="1" applyFill="1" applyAlignment="1"/>
    <xf numFmtId="41" fontId="3" fillId="5" borderId="0" xfId="2" applyNumberFormat="1" applyFont="1" applyFill="1" applyAlignment="1"/>
    <xf numFmtId="0" fontId="0" fillId="5" borderId="0" xfId="2" applyFont="1" applyFill="1" applyAlignment="1">
      <alignment horizontal="left" vertical="center"/>
    </xf>
    <xf numFmtId="41" fontId="0" fillId="5" borderId="0" xfId="2" applyNumberFormat="1" applyFont="1" applyFill="1">
      <alignment vertical="center"/>
    </xf>
    <xf numFmtId="38" fontId="0" fillId="0" borderId="0" xfId="1" applyFont="1">
      <alignment vertical="center"/>
    </xf>
    <xf numFmtId="38" fontId="0" fillId="6" borderId="0" xfId="2" applyNumberFormat="1" applyFont="1" applyFill="1">
      <alignment vertical="center"/>
    </xf>
    <xf numFmtId="38" fontId="0" fillId="0" borderId="0" xfId="2" applyNumberFormat="1" applyFont="1">
      <alignment vertical="center"/>
    </xf>
    <xf numFmtId="0" fontId="0" fillId="7" borderId="0" xfId="2" applyFont="1" applyFill="1">
      <alignment vertical="center"/>
    </xf>
    <xf numFmtId="0" fontId="0" fillId="7" borderId="0" xfId="2" applyFont="1" applyFill="1" applyAlignment="1">
      <alignment horizontal="left" vertical="center"/>
    </xf>
    <xf numFmtId="41" fontId="0" fillId="7" borderId="0" xfId="2" applyNumberFormat="1" applyFont="1" applyFill="1">
      <alignment vertical="center"/>
    </xf>
    <xf numFmtId="0" fontId="0" fillId="8" borderId="0" xfId="2" applyFont="1" applyFill="1">
      <alignment vertical="center"/>
    </xf>
    <xf numFmtId="0" fontId="3" fillId="8" borderId="0" xfId="2" applyFont="1" applyFill="1" applyAlignment="1"/>
    <xf numFmtId="41" fontId="3" fillId="8" borderId="0" xfId="2" applyNumberFormat="1" applyFont="1" applyFill="1" applyAlignment="1"/>
    <xf numFmtId="0" fontId="0" fillId="8" borderId="0" xfId="2" applyFont="1" applyFill="1" applyAlignment="1">
      <alignment horizontal="left" vertical="center"/>
    </xf>
    <xf numFmtId="41" fontId="0" fillId="8" borderId="0" xfId="2" applyNumberFormat="1" applyFont="1" applyFill="1">
      <alignment vertical="center"/>
    </xf>
    <xf numFmtId="0" fontId="0" fillId="9" borderId="0" xfId="2" applyFont="1" applyFill="1">
      <alignment vertical="center"/>
    </xf>
    <xf numFmtId="41" fontId="3" fillId="9" borderId="0" xfId="2" applyNumberFormat="1" applyFont="1" applyFill="1" applyAlignment="1"/>
    <xf numFmtId="0" fontId="3" fillId="9" borderId="0" xfId="2" applyFont="1" applyFill="1" applyAlignment="1"/>
    <xf numFmtId="0" fontId="0" fillId="9" borderId="0" xfId="2" applyFont="1" applyFill="1" applyAlignment="1">
      <alignment horizontal="left" vertical="center"/>
    </xf>
    <xf numFmtId="41" fontId="0" fillId="9" borderId="0" xfId="2" applyNumberFormat="1" applyFont="1" applyFill="1">
      <alignment vertical="center"/>
    </xf>
    <xf numFmtId="0" fontId="0" fillId="10" borderId="0" xfId="2" applyFont="1" applyFill="1">
      <alignment vertical="center"/>
    </xf>
    <xf numFmtId="41" fontId="3" fillId="10" borderId="0" xfId="2" applyNumberFormat="1" applyFont="1" applyFill="1" applyAlignment="1"/>
    <xf numFmtId="0" fontId="3" fillId="10" borderId="0" xfId="2" applyFont="1" applyFill="1" applyAlignment="1"/>
    <xf numFmtId="0" fontId="0" fillId="10" borderId="0" xfId="2" applyFont="1" applyFill="1" applyAlignment="1">
      <alignment horizontal="left" vertical="center"/>
    </xf>
    <xf numFmtId="41" fontId="0" fillId="10" borderId="0" xfId="2" applyNumberFormat="1" applyFont="1" applyFill="1">
      <alignment vertical="center"/>
    </xf>
    <xf numFmtId="41" fontId="0" fillId="0" borderId="0" xfId="2" applyNumberFormat="1" applyFont="1" applyAlignment="1">
      <alignment horizontal="right" vertical="center"/>
    </xf>
  </cellXfs>
  <cellStyles count="3">
    <cellStyle name="桁区切り" xfId="1" builtinId="6"/>
    <cellStyle name="標準" xfId="0" builtinId="0"/>
    <cellStyle name="標準 4" xfId="2" xr:uid="{68335593-9B9A-448C-AB21-9587A9CE1F5C}"/>
  </cellStyles>
  <dxfs count="5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游ゴシック"/>
        <family val="3"/>
        <charset val="128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游ゴシック"/>
        <family val="3"/>
        <charset val="128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游ゴシック"/>
        <family val="3"/>
        <charset val="128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numFmt numFmtId="33" formatCode="_ * #,##0_ ;_ * \-#,##0_ ;_ * &quot;-&quot;_ ;_ @_ 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6" tint="0.7999816888943144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2"/>
        <scheme val="minor"/>
      </font>
      <fill>
        <patternFill patternType="solid">
          <fgColor indexed="64"/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B560E8-B92F-4427-9090-0A88388CC859}" name="テーブル1" displayName="テーブル1" ref="A2:P11" totalsRowShown="0" headerRowDxfId="36" dataDxfId="37" headerRowCellStyle="標準 4" dataCellStyle="標準 4">
  <autoFilter ref="A2:P11" xr:uid="{4CB560E8-B92F-4427-9090-0A88388CC859}"/>
  <tableColumns count="16">
    <tableColumn id="1" xr3:uid="{C1815425-85A6-4FD9-9178-CFEC5B206786}" name="ASIS" dataDxfId="53" dataCellStyle="標準 4"/>
    <tableColumn id="2" xr3:uid="{866622D7-C6BB-4590-BB74-0B29E9A07409}" name="台数のみ" dataDxfId="52" dataCellStyle="標準 4"/>
    <tableColumn id="3" xr3:uid="{E647B1B3-BC71-43AB-99E6-3644B54DD689}" name="Unit price" dataDxfId="51" dataCellStyle="標準 4"/>
    <tableColumn id="4" xr3:uid="{13530F9F-E930-4919-B896-F1C6C7FB7511}" name="1月" dataDxfId="50" dataCellStyle="標準 4"/>
    <tableColumn id="5" xr3:uid="{8CC58141-CC82-4D16-8D35-92F4518529BC}" name="2月" dataDxfId="49" dataCellStyle="標準 4"/>
    <tableColumn id="6" xr3:uid="{CA9B4BB9-FDD1-4BE7-918D-C318A54840FB}" name="3月" dataDxfId="48" dataCellStyle="標準 4"/>
    <tableColumn id="7" xr3:uid="{A1F7E56B-B976-4B21-8F60-6476C6C75AC2}" name="4月" dataDxfId="47" dataCellStyle="標準 4"/>
    <tableColumn id="8" xr3:uid="{8E318266-4355-4521-8C9A-9BDED14B1DF2}" name="5月" dataDxfId="46" dataCellStyle="標準 4"/>
    <tableColumn id="9" xr3:uid="{20E5DD4F-95DD-433F-AC8C-8DE44A344FDF}" name="6月" dataDxfId="45" dataCellStyle="標準 4"/>
    <tableColumn id="10" xr3:uid="{8D6A518A-73B2-4A0E-B259-9E559FC73E48}" name="7月" dataDxfId="44" dataCellStyle="標準 4"/>
    <tableColumn id="11" xr3:uid="{A3C10826-2761-4B10-97D3-6C517D1D260D}" name="8月" dataDxfId="43" dataCellStyle="標準 4"/>
    <tableColumn id="12" xr3:uid="{4D942CD5-995B-44D9-A752-AD2CEE66CD1D}" name="9月" dataDxfId="42" dataCellStyle="標準 4"/>
    <tableColumn id="13" xr3:uid="{49D20101-5DDE-4BCA-B0A8-F02407BF140F}" name="10月" dataDxfId="41" dataCellStyle="標準 4"/>
    <tableColumn id="14" xr3:uid="{C80105F4-B61D-4A9D-9439-EA710D817895}" name="11月" dataDxfId="40" dataCellStyle="標準 4"/>
    <tableColumn id="15" xr3:uid="{EDC4192A-08CC-4AD5-A0F6-7C4FCC3E71C8}" name="12月" dataDxfId="39" dataCellStyle="標準 4"/>
    <tableColumn id="16" xr3:uid="{D91D7265-E2A0-4CD8-B199-56922F3BED71}" name="合計" dataDxfId="38" dataCellStyle="標準 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2ABFC9-47DD-4EF7-A469-0E48D124BC0F}" name="テーブル2" displayName="テーブル2" ref="A14:P23" totalsRowShown="0" headerRowDxfId="18" dataDxfId="19" headerRowCellStyle="標準 4" dataCellStyle="標準 4">
  <autoFilter ref="A14:P23" xr:uid="{5E2ABFC9-47DD-4EF7-A469-0E48D124BC0F}"/>
  <tableColumns count="16">
    <tableColumn id="1" xr3:uid="{93252739-9CBF-4D3C-B8CE-74D56093E369}" name="Return" dataDxfId="35" dataCellStyle="標準 4"/>
    <tableColumn id="2" xr3:uid="{A7A8193D-C1E5-4D5B-A9DF-DD0DC6D2E532}" name="台数のみ" dataDxfId="34" dataCellStyle="標準 4"/>
    <tableColumn id="3" xr3:uid="{0442FDA3-9B5E-429E-AFF7-4241483BF7CD}" name="Unit price" dataDxfId="33" dataCellStyle="標準 4"/>
    <tableColumn id="4" xr3:uid="{9B30B0CC-EB52-4963-BA6B-B89A4A2BDF4C}" name="1月" dataDxfId="32" dataCellStyle="標準 4"/>
    <tableColumn id="5" xr3:uid="{5D6D8339-27AC-4EFF-80C6-573E36D46B5E}" name="2月" dataDxfId="31" dataCellStyle="標準 4"/>
    <tableColumn id="6" xr3:uid="{46EB0189-D550-40F1-97FA-F58B77859316}" name="3月" dataDxfId="30" dataCellStyle="標準 4"/>
    <tableColumn id="7" xr3:uid="{8D998795-F1A2-49F7-A59A-05E94CA2A355}" name="4月" dataDxfId="29" dataCellStyle="標準 4"/>
    <tableColumn id="8" xr3:uid="{B5C38F30-97E5-45FF-99B7-7CEF073B420F}" name="5月" dataDxfId="28" dataCellStyle="標準 4"/>
    <tableColumn id="9" xr3:uid="{A24D22D7-5ADE-48B7-9D19-AEF06E6F460C}" name="6月" dataDxfId="27" dataCellStyle="標準 4"/>
    <tableColumn id="10" xr3:uid="{D7DD38E4-CA7D-4C6D-B68E-AA1FDA50CD06}" name="7月" dataDxfId="26" dataCellStyle="標準 4"/>
    <tableColumn id="11" xr3:uid="{3FBA0B11-5828-48FA-BBD9-8195D99A8BA7}" name="8月" dataDxfId="25" dataCellStyle="標準 4"/>
    <tableColumn id="12" xr3:uid="{FD44242A-90A6-440C-B7FB-36EA78A95472}" name="9月" dataDxfId="24" dataCellStyle="標準 4"/>
    <tableColumn id="13" xr3:uid="{1D5978CE-79BE-4AED-A8FA-4BAF7A472C78}" name="10月" dataDxfId="23" dataCellStyle="標準 4"/>
    <tableColumn id="14" xr3:uid="{F937F1B4-58F0-4C57-9F6E-4B2F7B72605C}" name="11月" dataDxfId="22" dataCellStyle="標準 4"/>
    <tableColumn id="15" xr3:uid="{4CD5FE73-36D3-4E59-ACD4-52EAD8F06676}" name="12月" dataDxfId="21" dataCellStyle="標準 4"/>
    <tableColumn id="16" xr3:uid="{FC10EB96-33D8-4F40-9F90-073B58FB3F4B}" name="列1" dataDxfId="20" dataCellStyle="標準 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43764C-EECB-4FBF-8EB9-B323C5056335}" name="テーブル3" displayName="テーブル3" ref="A26:P40" totalsRowShown="0" headerRowDxfId="0" dataDxfId="1" headerRowCellStyle="標準 4" dataCellStyle="標準 4">
  <autoFilter ref="A26:P40" xr:uid="{5343764C-EECB-4FBF-8EB9-B323C5056335}"/>
  <tableColumns count="16">
    <tableColumn id="1" xr3:uid="{96BAC6E4-191D-490F-AF66-046D414808BA}" name="New" dataDxfId="17" dataCellStyle="標準 4"/>
    <tableColumn id="2" xr3:uid="{798936FB-BC42-410B-9940-16CB31BB29EF}" name="台数のみ" dataDxfId="16" dataCellStyle="標準 4"/>
    <tableColumn id="3" xr3:uid="{8DC72E11-502D-4961-BBE5-73BF74F4B142}" name="Unit price" dataDxfId="15" dataCellStyle="標準 4"/>
    <tableColumn id="4" xr3:uid="{533136D0-C26A-4F4A-AA60-E17F75DE5FCE}" name="1月" dataDxfId="14" dataCellStyle="標準 4"/>
    <tableColumn id="5" xr3:uid="{8BEFFFA8-9ADA-40E3-83A7-5D3601C8221D}" name="2月" dataDxfId="13" dataCellStyle="標準 4"/>
    <tableColumn id="6" xr3:uid="{591838F7-9C35-4DE6-9251-7D8797560DDF}" name="3月" dataDxfId="12" dataCellStyle="標準 4"/>
    <tableColumn id="7" xr3:uid="{07444012-C8E1-479E-AF35-80988104E2D9}" name="4月" dataDxfId="11" dataCellStyle="標準 4"/>
    <tableColumn id="8" xr3:uid="{3360AEE5-25C0-4ABD-BADA-9261AB7DAF03}" name="5月" dataDxfId="10" dataCellStyle="標準 4"/>
    <tableColumn id="9" xr3:uid="{119E681B-C354-4093-A3AF-DC2049B37FFB}" name="6月" dataDxfId="9" dataCellStyle="標準 4"/>
    <tableColumn id="10" xr3:uid="{6ECC3A1B-5B5A-46E7-8D6A-BE0C0E6D05AD}" name="7月" dataDxfId="8" dataCellStyle="標準 4"/>
    <tableColumn id="11" xr3:uid="{9A64EC57-4B1C-429B-9D43-0406F0D075A4}" name="8月" dataDxfId="7" dataCellStyle="標準 4"/>
    <tableColumn id="12" xr3:uid="{0160BE3D-0B17-4E3C-A635-B0DE71895231}" name="9月" dataDxfId="6" dataCellStyle="標準 4"/>
    <tableColumn id="13" xr3:uid="{C5FE934D-B730-42CA-86D7-BEDBDE559D51}" name="10月" dataDxfId="5" dataCellStyle="標準 4"/>
    <tableColumn id="14" xr3:uid="{C4979AB0-7C07-4451-9D99-5C64C0B1AA5F}" name="11月" dataDxfId="4" dataCellStyle="標準 4"/>
    <tableColumn id="15" xr3:uid="{8C920207-DBE5-4400-A712-EDDCBED3F439}" name="12月" dataDxfId="3" dataCellStyle="標準 4"/>
    <tableColumn id="16" xr3:uid="{827492F0-66AE-4292-A28D-2A2F65A87210}" name="列1" dataDxfId="2" dataCellStyle="標準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1670C-A61A-475C-8529-670462E80726}">
  <sheetPr>
    <tabColor theme="4"/>
  </sheetPr>
  <dimension ref="A1:AW127"/>
  <sheetViews>
    <sheetView topLeftCell="Z1" workbookViewId="0">
      <selection activeCell="R1" sqref="R1:AG1048576"/>
    </sheetView>
  </sheetViews>
  <sheetFormatPr defaultColWidth="8.625" defaultRowHeight="18.75" x14ac:dyDescent="0.4"/>
  <cols>
    <col min="1" max="1" width="8.625" style="1"/>
    <col min="2" max="2" width="32.5" style="1" customWidth="1"/>
    <col min="3" max="3" width="19" style="1" customWidth="1"/>
    <col min="4" max="4" width="4.875" style="1" bestFit="1" customWidth="1"/>
    <col min="5" max="12" width="3.875" style="1" bestFit="1" customWidth="1"/>
    <col min="13" max="15" width="4.75" style="1" bestFit="1" customWidth="1"/>
    <col min="16" max="16" width="4.5" style="1" bestFit="1" customWidth="1"/>
    <col min="17" max="17" width="8.625" style="2"/>
    <col min="18" max="18" width="14.5" style="1" bestFit="1" customWidth="1"/>
    <col min="19" max="19" width="33.875" style="1" bestFit="1" customWidth="1"/>
    <col min="20" max="20" width="10" style="1" customWidth="1"/>
    <col min="21" max="32" width="12.75" style="3" customWidth="1"/>
    <col min="33" max="34" width="11.25" style="1" customWidth="1"/>
    <col min="35" max="47" width="8.625" style="1"/>
    <col min="48" max="48" width="9.5" style="1" bestFit="1" customWidth="1"/>
    <col min="49" max="16384" width="8.625" style="1"/>
  </cols>
  <sheetData>
    <row r="1" spans="1:33" x14ac:dyDescent="0.4">
      <c r="R1" s="1" t="s">
        <v>0</v>
      </c>
      <c r="S1" s="1" t="s">
        <v>1</v>
      </c>
      <c r="T1" s="1" t="s">
        <v>52</v>
      </c>
    </row>
    <row r="2" spans="1:33" x14ac:dyDescent="0.4">
      <c r="A2" s="4" t="s">
        <v>2</v>
      </c>
      <c r="B2" s="4"/>
      <c r="C2" s="4"/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R2" s="4" t="s">
        <v>2</v>
      </c>
      <c r="S2" s="4"/>
      <c r="T2" s="4"/>
      <c r="U2" s="6" t="s">
        <v>3</v>
      </c>
      <c r="V2" s="6" t="s">
        <v>4</v>
      </c>
      <c r="W2" s="6" t="s">
        <v>5</v>
      </c>
      <c r="X2" s="6" t="s">
        <v>6</v>
      </c>
      <c r="Y2" s="6" t="s">
        <v>7</v>
      </c>
      <c r="Z2" s="6" t="s">
        <v>8</v>
      </c>
      <c r="AA2" s="6" t="s">
        <v>9</v>
      </c>
      <c r="AB2" s="6" t="s">
        <v>10</v>
      </c>
      <c r="AC2" s="6" t="s">
        <v>11</v>
      </c>
      <c r="AD2" s="6" t="s">
        <v>12</v>
      </c>
      <c r="AE2" s="6" t="s">
        <v>13</v>
      </c>
      <c r="AF2" s="6" t="s">
        <v>14</v>
      </c>
      <c r="AG2" s="5" t="s">
        <v>15</v>
      </c>
    </row>
    <row r="3" spans="1:33" x14ac:dyDescent="0.4">
      <c r="A3" s="4"/>
      <c r="B3" s="7" t="s">
        <v>16</v>
      </c>
      <c r="C3" s="4">
        <v>3690</v>
      </c>
      <c r="D3" s="4">
        <v>1</v>
      </c>
      <c r="E3" s="4">
        <v>1</v>
      </c>
      <c r="F3" s="4">
        <v>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/>
      <c r="R3" s="4"/>
      <c r="S3" s="7" t="s">
        <v>16</v>
      </c>
      <c r="T3" s="4">
        <v>3690</v>
      </c>
      <c r="U3" s="8">
        <v>1</v>
      </c>
      <c r="V3" s="8">
        <v>1</v>
      </c>
      <c r="W3" s="8">
        <v>1</v>
      </c>
      <c r="X3" s="8">
        <v>1</v>
      </c>
      <c r="Y3" s="8">
        <v>1</v>
      </c>
      <c r="Z3" s="8">
        <v>1</v>
      </c>
      <c r="AA3" s="8">
        <v>1</v>
      </c>
      <c r="AB3" s="8">
        <v>1</v>
      </c>
      <c r="AC3" s="8">
        <v>1</v>
      </c>
      <c r="AD3" s="8">
        <v>1</v>
      </c>
      <c r="AE3" s="8">
        <v>1</v>
      </c>
      <c r="AF3" s="8">
        <v>1</v>
      </c>
      <c r="AG3" s="4"/>
    </row>
    <row r="4" spans="1:33" x14ac:dyDescent="0.4">
      <c r="A4" s="4"/>
      <c r="B4" s="7" t="s">
        <v>17</v>
      </c>
      <c r="C4" s="4">
        <v>4130</v>
      </c>
      <c r="D4" s="4">
        <v>80</v>
      </c>
      <c r="E4" s="4">
        <v>80</v>
      </c>
      <c r="F4" s="4">
        <v>80</v>
      </c>
      <c r="G4" s="4">
        <v>80</v>
      </c>
      <c r="H4" s="4">
        <v>80</v>
      </c>
      <c r="I4" s="4">
        <v>80</v>
      </c>
      <c r="J4" s="4">
        <v>80</v>
      </c>
      <c r="K4" s="4">
        <v>80</v>
      </c>
      <c r="L4" s="4">
        <v>80</v>
      </c>
      <c r="M4" s="4">
        <v>80</v>
      </c>
      <c r="N4" s="4">
        <v>80</v>
      </c>
      <c r="O4" s="4">
        <v>80</v>
      </c>
      <c r="P4" s="4"/>
      <c r="R4" s="4"/>
      <c r="S4" s="7" t="s">
        <v>17</v>
      </c>
      <c r="T4" s="4">
        <v>4130</v>
      </c>
      <c r="U4" s="8">
        <v>80</v>
      </c>
      <c r="V4" s="8">
        <v>80</v>
      </c>
      <c r="W4" s="8">
        <v>80</v>
      </c>
      <c r="X4" s="8">
        <v>80</v>
      </c>
      <c r="Y4" s="8">
        <v>80</v>
      </c>
      <c r="Z4" s="8">
        <v>80</v>
      </c>
      <c r="AA4" s="8">
        <v>80</v>
      </c>
      <c r="AB4" s="8">
        <v>80</v>
      </c>
      <c r="AC4" s="8">
        <v>80</v>
      </c>
      <c r="AD4" s="8">
        <v>80</v>
      </c>
      <c r="AE4" s="8">
        <v>80</v>
      </c>
      <c r="AF4" s="8">
        <v>80</v>
      </c>
      <c r="AG4" s="4"/>
    </row>
    <row r="5" spans="1:33" x14ac:dyDescent="0.4">
      <c r="A5" s="4"/>
      <c r="B5" s="7" t="s">
        <v>18</v>
      </c>
      <c r="C5" s="4">
        <v>6750</v>
      </c>
      <c r="D5" s="4">
        <v>2</v>
      </c>
      <c r="E5" s="4">
        <v>2</v>
      </c>
      <c r="F5" s="4">
        <v>2</v>
      </c>
      <c r="G5" s="4">
        <v>2</v>
      </c>
      <c r="H5" s="4">
        <v>2</v>
      </c>
      <c r="I5" s="4">
        <v>2</v>
      </c>
      <c r="J5" s="4">
        <v>2</v>
      </c>
      <c r="K5" s="4">
        <v>2</v>
      </c>
      <c r="L5" s="4">
        <v>2</v>
      </c>
      <c r="M5" s="4">
        <v>2</v>
      </c>
      <c r="N5" s="4">
        <v>2</v>
      </c>
      <c r="O5" s="4">
        <v>2</v>
      </c>
      <c r="P5" s="4"/>
      <c r="R5" s="4"/>
      <c r="S5" s="7" t="s">
        <v>18</v>
      </c>
      <c r="T5" s="4">
        <v>6750</v>
      </c>
      <c r="U5" s="8">
        <v>2</v>
      </c>
      <c r="V5" s="8">
        <v>2</v>
      </c>
      <c r="W5" s="8">
        <v>2</v>
      </c>
      <c r="X5" s="8">
        <v>2</v>
      </c>
      <c r="Y5" s="8">
        <v>2</v>
      </c>
      <c r="Z5" s="8">
        <v>2</v>
      </c>
      <c r="AA5" s="8">
        <v>2</v>
      </c>
      <c r="AB5" s="8">
        <v>2</v>
      </c>
      <c r="AC5" s="8">
        <v>2</v>
      </c>
      <c r="AD5" s="8">
        <v>2</v>
      </c>
      <c r="AE5" s="8">
        <v>2</v>
      </c>
      <c r="AF5" s="8">
        <v>2</v>
      </c>
      <c r="AG5" s="4"/>
    </row>
    <row r="6" spans="1:33" x14ac:dyDescent="0.4">
      <c r="A6" s="4"/>
      <c r="B6" s="7" t="s">
        <v>19</v>
      </c>
      <c r="C6" s="4">
        <v>4200</v>
      </c>
      <c r="D6" s="4">
        <v>18</v>
      </c>
      <c r="E6" s="4">
        <v>18</v>
      </c>
      <c r="F6" s="4">
        <v>18</v>
      </c>
      <c r="G6" s="4">
        <v>18</v>
      </c>
      <c r="H6" s="4">
        <v>18</v>
      </c>
      <c r="I6" s="4">
        <v>18</v>
      </c>
      <c r="J6" s="4">
        <v>18</v>
      </c>
      <c r="K6" s="4">
        <v>18</v>
      </c>
      <c r="L6" s="4">
        <v>18</v>
      </c>
      <c r="M6" s="4">
        <v>18</v>
      </c>
      <c r="N6" s="4">
        <v>18</v>
      </c>
      <c r="O6" s="4">
        <v>18</v>
      </c>
      <c r="P6" s="4"/>
      <c r="R6" s="4"/>
      <c r="S6" s="7" t="s">
        <v>19</v>
      </c>
      <c r="T6" s="4">
        <v>4200</v>
      </c>
      <c r="U6" s="8">
        <v>18</v>
      </c>
      <c r="V6" s="8">
        <v>18</v>
      </c>
      <c r="W6" s="8">
        <v>18</v>
      </c>
      <c r="X6" s="8">
        <v>18</v>
      </c>
      <c r="Y6" s="8">
        <v>18</v>
      </c>
      <c r="Z6" s="8">
        <v>18</v>
      </c>
      <c r="AA6" s="8">
        <v>18</v>
      </c>
      <c r="AB6" s="8">
        <v>18</v>
      </c>
      <c r="AC6" s="8">
        <v>18</v>
      </c>
      <c r="AD6" s="8">
        <v>18</v>
      </c>
      <c r="AE6" s="8">
        <v>18</v>
      </c>
      <c r="AF6" s="8">
        <v>18</v>
      </c>
      <c r="AG6" s="4"/>
    </row>
    <row r="7" spans="1:33" x14ac:dyDescent="0.4">
      <c r="A7" s="4"/>
      <c r="B7" s="7" t="s">
        <v>20</v>
      </c>
      <c r="C7" s="4">
        <v>4010</v>
      </c>
      <c r="D7" s="4">
        <v>70</v>
      </c>
      <c r="E7" s="4">
        <v>70</v>
      </c>
      <c r="F7" s="4">
        <v>70</v>
      </c>
      <c r="G7" s="4">
        <v>70</v>
      </c>
      <c r="H7" s="4">
        <v>70</v>
      </c>
      <c r="I7" s="4">
        <v>70</v>
      </c>
      <c r="J7" s="4">
        <v>70</v>
      </c>
      <c r="K7" s="4">
        <v>70</v>
      </c>
      <c r="L7" s="4">
        <v>70</v>
      </c>
      <c r="M7" s="4">
        <v>70</v>
      </c>
      <c r="N7" s="4">
        <v>70</v>
      </c>
      <c r="O7" s="4">
        <v>70</v>
      </c>
      <c r="P7" s="4"/>
      <c r="R7" s="4"/>
      <c r="S7" s="7" t="s">
        <v>20</v>
      </c>
      <c r="T7" s="4">
        <v>4010</v>
      </c>
      <c r="U7" s="8">
        <v>70</v>
      </c>
      <c r="V7" s="8">
        <v>70</v>
      </c>
      <c r="W7" s="8">
        <v>70</v>
      </c>
      <c r="X7" s="8">
        <v>70</v>
      </c>
      <c r="Y7" s="8">
        <v>70</v>
      </c>
      <c r="Z7" s="8">
        <v>70</v>
      </c>
      <c r="AA7" s="8">
        <v>70</v>
      </c>
      <c r="AB7" s="8">
        <v>70</v>
      </c>
      <c r="AC7" s="8">
        <v>70</v>
      </c>
      <c r="AD7" s="8">
        <v>70</v>
      </c>
      <c r="AE7" s="8">
        <v>70</v>
      </c>
      <c r="AF7" s="8">
        <v>70</v>
      </c>
      <c r="AG7" s="4"/>
    </row>
    <row r="8" spans="1:33" x14ac:dyDescent="0.4">
      <c r="A8" s="4"/>
      <c r="B8" s="7" t="s">
        <v>21</v>
      </c>
      <c r="C8" s="4">
        <v>3800</v>
      </c>
      <c r="D8" s="4">
        <v>135</v>
      </c>
      <c r="E8" s="4">
        <v>135</v>
      </c>
      <c r="F8" s="4">
        <v>135</v>
      </c>
      <c r="G8" s="4">
        <v>135</v>
      </c>
      <c r="H8" s="4">
        <v>135</v>
      </c>
      <c r="I8" s="4">
        <v>135</v>
      </c>
      <c r="J8" s="4">
        <v>135</v>
      </c>
      <c r="K8" s="4">
        <v>135</v>
      </c>
      <c r="L8" s="4">
        <v>135</v>
      </c>
      <c r="M8" s="4">
        <v>135</v>
      </c>
      <c r="N8" s="4">
        <v>135</v>
      </c>
      <c r="O8" s="4">
        <v>135</v>
      </c>
      <c r="P8" s="4"/>
      <c r="R8" s="4"/>
      <c r="S8" s="7" t="s">
        <v>21</v>
      </c>
      <c r="T8" s="4">
        <v>3800</v>
      </c>
      <c r="U8" s="8">
        <v>135</v>
      </c>
      <c r="V8" s="8">
        <v>135</v>
      </c>
      <c r="W8" s="8">
        <v>135</v>
      </c>
      <c r="X8" s="8">
        <v>135</v>
      </c>
      <c r="Y8" s="8">
        <v>135</v>
      </c>
      <c r="Z8" s="8">
        <v>135</v>
      </c>
      <c r="AA8" s="8">
        <v>135</v>
      </c>
      <c r="AB8" s="8">
        <v>135</v>
      </c>
      <c r="AC8" s="8">
        <v>135</v>
      </c>
      <c r="AD8" s="8">
        <v>135</v>
      </c>
      <c r="AE8" s="8">
        <v>135</v>
      </c>
      <c r="AF8" s="8">
        <v>135</v>
      </c>
      <c r="AG8" s="4"/>
    </row>
    <row r="9" spans="1:33" x14ac:dyDescent="0.4">
      <c r="A9" s="4"/>
      <c r="B9" s="7" t="s">
        <v>22</v>
      </c>
      <c r="C9" s="4">
        <v>3850</v>
      </c>
      <c r="D9" s="4">
        <v>190</v>
      </c>
      <c r="E9" s="4">
        <v>190</v>
      </c>
      <c r="F9" s="4">
        <v>190</v>
      </c>
      <c r="G9" s="4">
        <v>190</v>
      </c>
      <c r="H9" s="4">
        <v>190</v>
      </c>
      <c r="I9" s="4">
        <v>190</v>
      </c>
      <c r="J9" s="4">
        <v>190</v>
      </c>
      <c r="K9" s="4">
        <v>190</v>
      </c>
      <c r="L9" s="4">
        <v>190</v>
      </c>
      <c r="M9" s="4">
        <v>190</v>
      </c>
      <c r="N9" s="4">
        <v>190</v>
      </c>
      <c r="O9" s="4">
        <v>190</v>
      </c>
      <c r="P9" s="4"/>
      <c r="R9" s="4"/>
      <c r="S9" s="7" t="s">
        <v>22</v>
      </c>
      <c r="T9" s="4">
        <v>3850</v>
      </c>
      <c r="U9" s="8">
        <v>190</v>
      </c>
      <c r="V9" s="8">
        <v>190</v>
      </c>
      <c r="W9" s="8">
        <v>190</v>
      </c>
      <c r="X9" s="8">
        <v>190</v>
      </c>
      <c r="Y9" s="8">
        <v>190</v>
      </c>
      <c r="Z9" s="8">
        <v>190</v>
      </c>
      <c r="AA9" s="8">
        <v>190</v>
      </c>
      <c r="AB9" s="8">
        <v>190</v>
      </c>
      <c r="AC9" s="8">
        <v>190</v>
      </c>
      <c r="AD9" s="8">
        <v>190</v>
      </c>
      <c r="AE9" s="8">
        <v>190</v>
      </c>
      <c r="AF9" s="8">
        <v>190</v>
      </c>
      <c r="AG9" s="4"/>
    </row>
    <row r="10" spans="1:33" x14ac:dyDescent="0.4">
      <c r="A10" s="4"/>
      <c r="B10" s="7" t="s">
        <v>23</v>
      </c>
      <c r="C10" s="4">
        <v>2630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  <c r="K10" s="4">
        <v>100</v>
      </c>
      <c r="L10" s="4">
        <v>100</v>
      </c>
      <c r="M10" s="4">
        <v>100</v>
      </c>
      <c r="N10" s="4">
        <v>100</v>
      </c>
      <c r="O10" s="4">
        <v>100</v>
      </c>
      <c r="P10" s="4"/>
      <c r="R10" s="4"/>
      <c r="S10" s="7" t="s">
        <v>23</v>
      </c>
      <c r="T10" s="4">
        <v>2630</v>
      </c>
      <c r="U10" s="8">
        <v>100</v>
      </c>
      <c r="V10" s="8">
        <v>100</v>
      </c>
      <c r="W10" s="8">
        <v>100</v>
      </c>
      <c r="X10" s="8">
        <v>100</v>
      </c>
      <c r="Y10" s="8">
        <v>100</v>
      </c>
      <c r="Z10" s="8">
        <v>100</v>
      </c>
      <c r="AA10" s="8">
        <v>100</v>
      </c>
      <c r="AB10" s="8">
        <v>100</v>
      </c>
      <c r="AC10" s="8">
        <v>100</v>
      </c>
      <c r="AD10" s="8">
        <v>100</v>
      </c>
      <c r="AE10" s="8">
        <v>100</v>
      </c>
      <c r="AF10" s="8">
        <v>100</v>
      </c>
      <c r="AG10" s="4"/>
    </row>
    <row r="11" spans="1:33" x14ac:dyDescent="0.4">
      <c r="A11" s="4"/>
      <c r="B11" s="7" t="s">
        <v>24</v>
      </c>
      <c r="C11" s="4">
        <v>4200</v>
      </c>
      <c r="D11" s="4">
        <v>1</v>
      </c>
      <c r="E11" s="4">
        <v>1</v>
      </c>
      <c r="F11" s="4">
        <v>1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/>
      <c r="R11" s="4"/>
      <c r="S11" s="7" t="s">
        <v>24</v>
      </c>
      <c r="T11" s="4">
        <v>4200</v>
      </c>
      <c r="U11" s="8">
        <v>1</v>
      </c>
      <c r="V11" s="8">
        <v>1</v>
      </c>
      <c r="W11" s="8">
        <v>1</v>
      </c>
      <c r="X11" s="8">
        <v>1</v>
      </c>
      <c r="Y11" s="8">
        <v>1</v>
      </c>
      <c r="Z11" s="8">
        <v>1</v>
      </c>
      <c r="AA11" s="8">
        <v>1</v>
      </c>
      <c r="AB11" s="8">
        <v>1</v>
      </c>
      <c r="AC11" s="8">
        <v>1</v>
      </c>
      <c r="AD11" s="8">
        <v>1</v>
      </c>
      <c r="AE11" s="8">
        <v>1</v>
      </c>
      <c r="AF11" s="8">
        <v>1</v>
      </c>
      <c r="AG11" s="4"/>
    </row>
    <row r="12" spans="1:33" x14ac:dyDescent="0.4">
      <c r="B12" s="9"/>
    </row>
    <row r="13" spans="1:33" x14ac:dyDescent="0.4">
      <c r="S13" s="1" t="s">
        <v>1</v>
      </c>
      <c r="T13" s="1" t="s">
        <v>52</v>
      </c>
    </row>
    <row r="14" spans="1:33" x14ac:dyDescent="0.4">
      <c r="A14" s="10" t="s">
        <v>25</v>
      </c>
      <c r="B14" s="10"/>
      <c r="C14" s="10"/>
      <c r="D14" s="11" t="s">
        <v>3</v>
      </c>
      <c r="E14" s="11" t="s">
        <v>4</v>
      </c>
      <c r="F14" s="11" t="s">
        <v>5</v>
      </c>
      <c r="G14" s="11" t="s">
        <v>6</v>
      </c>
      <c r="H14" s="11" t="s">
        <v>7</v>
      </c>
      <c r="I14" s="11" t="s">
        <v>8</v>
      </c>
      <c r="J14" s="11" t="s">
        <v>9</v>
      </c>
      <c r="K14" s="11" t="s">
        <v>10</v>
      </c>
      <c r="L14" s="11" t="s">
        <v>11</v>
      </c>
      <c r="M14" s="11" t="s">
        <v>12</v>
      </c>
      <c r="N14" s="11" t="s">
        <v>13</v>
      </c>
      <c r="O14" s="11" t="s">
        <v>14</v>
      </c>
      <c r="P14" s="10"/>
      <c r="R14" s="10" t="s">
        <v>25</v>
      </c>
      <c r="S14" s="10"/>
      <c r="T14" s="10"/>
      <c r="U14" s="12" t="s">
        <v>3</v>
      </c>
      <c r="V14" s="12" t="s">
        <v>4</v>
      </c>
      <c r="W14" s="12" t="s">
        <v>5</v>
      </c>
      <c r="X14" s="12" t="s">
        <v>6</v>
      </c>
      <c r="Y14" s="12" t="s">
        <v>7</v>
      </c>
      <c r="Z14" s="12" t="s">
        <v>8</v>
      </c>
      <c r="AA14" s="12" t="s">
        <v>9</v>
      </c>
      <c r="AB14" s="12" t="s">
        <v>10</v>
      </c>
      <c r="AC14" s="12" t="s">
        <v>11</v>
      </c>
      <c r="AD14" s="12" t="s">
        <v>12</v>
      </c>
      <c r="AE14" s="12" t="s">
        <v>13</v>
      </c>
      <c r="AF14" s="12" t="s">
        <v>14</v>
      </c>
      <c r="AG14" s="10"/>
    </row>
    <row r="15" spans="1:33" x14ac:dyDescent="0.4">
      <c r="A15" s="10"/>
      <c r="B15" s="13" t="s">
        <v>16</v>
      </c>
      <c r="C15" s="10">
        <v>3690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R15" s="10"/>
      <c r="S15" s="13" t="s">
        <v>16</v>
      </c>
      <c r="T15" s="10">
        <v>3690</v>
      </c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0"/>
    </row>
    <row r="16" spans="1:33" x14ac:dyDescent="0.4">
      <c r="A16" s="10"/>
      <c r="B16" s="13" t="s">
        <v>17</v>
      </c>
      <c r="C16" s="10">
        <v>4130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R16" s="10"/>
      <c r="S16" s="13" t="s">
        <v>17</v>
      </c>
      <c r="T16" s="10">
        <v>4130</v>
      </c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0"/>
    </row>
    <row r="17" spans="1:47" x14ac:dyDescent="0.4">
      <c r="A17" s="10"/>
      <c r="B17" s="13" t="s">
        <v>18</v>
      </c>
      <c r="C17" s="10">
        <v>6750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R17" s="10"/>
      <c r="S17" s="13" t="s">
        <v>18</v>
      </c>
      <c r="T17" s="10">
        <v>6750</v>
      </c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0"/>
    </row>
    <row r="18" spans="1:47" x14ac:dyDescent="0.4">
      <c r="A18" s="10"/>
      <c r="B18" s="13" t="s">
        <v>19</v>
      </c>
      <c r="C18" s="10">
        <v>4200</v>
      </c>
      <c r="D18" s="10">
        <v>15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R18" s="10"/>
      <c r="S18" s="13" t="s">
        <v>19</v>
      </c>
      <c r="T18" s="10">
        <v>4200</v>
      </c>
      <c r="U18" s="14"/>
      <c r="V18" s="14">
        <v>18</v>
      </c>
      <c r="W18" s="14">
        <v>18</v>
      </c>
      <c r="X18" s="14">
        <v>18</v>
      </c>
      <c r="Y18" s="14">
        <v>18</v>
      </c>
      <c r="Z18" s="14">
        <v>18</v>
      </c>
      <c r="AA18" s="14">
        <v>18</v>
      </c>
      <c r="AB18" s="14">
        <v>18</v>
      </c>
      <c r="AC18" s="14">
        <v>18</v>
      </c>
      <c r="AD18" s="14">
        <v>18</v>
      </c>
      <c r="AE18" s="14">
        <v>18</v>
      </c>
      <c r="AF18" s="14">
        <v>18</v>
      </c>
      <c r="AG18" s="10"/>
    </row>
    <row r="19" spans="1:47" x14ac:dyDescent="0.4">
      <c r="A19" s="10"/>
      <c r="B19" s="13" t="s">
        <v>20</v>
      </c>
      <c r="C19" s="10">
        <v>4010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R19" s="10"/>
      <c r="S19" s="13" t="s">
        <v>20</v>
      </c>
      <c r="T19" s="10">
        <v>4010</v>
      </c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0"/>
    </row>
    <row r="20" spans="1:47" x14ac:dyDescent="0.4">
      <c r="A20" s="10"/>
      <c r="B20" s="13" t="s">
        <v>21</v>
      </c>
      <c r="C20" s="10">
        <v>3800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R20" s="10"/>
      <c r="S20" s="13" t="s">
        <v>21</v>
      </c>
      <c r="T20" s="10">
        <v>3800</v>
      </c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0"/>
    </row>
    <row r="21" spans="1:47" x14ac:dyDescent="0.4">
      <c r="A21" s="10"/>
      <c r="B21" s="13" t="s">
        <v>22</v>
      </c>
      <c r="C21" s="10">
        <v>3850</v>
      </c>
      <c r="D21" s="10"/>
      <c r="E21" s="10"/>
      <c r="F21" s="10"/>
      <c r="G21" s="10">
        <v>30</v>
      </c>
      <c r="H21" s="10">
        <v>25</v>
      </c>
      <c r="I21" s="10">
        <v>50</v>
      </c>
      <c r="J21" s="10"/>
      <c r="K21" s="10"/>
      <c r="L21" s="10">
        <v>30</v>
      </c>
      <c r="M21" s="10"/>
      <c r="N21" s="10"/>
      <c r="O21" s="10"/>
      <c r="P21" s="10"/>
      <c r="R21" s="10"/>
      <c r="S21" s="13" t="s">
        <v>22</v>
      </c>
      <c r="T21" s="10">
        <v>3850</v>
      </c>
      <c r="U21" s="14"/>
      <c r="V21" s="14"/>
      <c r="W21" s="14"/>
      <c r="X21" s="14"/>
      <c r="Y21" s="14">
        <v>85</v>
      </c>
      <c r="Z21" s="14">
        <v>105</v>
      </c>
      <c r="AA21" s="14">
        <v>105</v>
      </c>
      <c r="AB21" s="14">
        <v>105</v>
      </c>
      <c r="AC21" s="14">
        <v>105</v>
      </c>
      <c r="AD21" s="14">
        <v>135</v>
      </c>
      <c r="AE21" s="14">
        <v>135</v>
      </c>
      <c r="AF21" s="14">
        <v>135</v>
      </c>
      <c r="AG21" s="10"/>
    </row>
    <row r="22" spans="1:47" x14ac:dyDescent="0.4">
      <c r="A22" s="10"/>
      <c r="B22" s="13" t="s">
        <v>23</v>
      </c>
      <c r="C22" s="10">
        <v>2630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R22" s="10"/>
      <c r="S22" s="13" t="s">
        <v>23</v>
      </c>
      <c r="T22" s="10">
        <v>2630</v>
      </c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0"/>
    </row>
    <row r="23" spans="1:47" x14ac:dyDescent="0.4">
      <c r="A23" s="10"/>
      <c r="B23" s="13" t="s">
        <v>24</v>
      </c>
      <c r="C23" s="10">
        <v>4200</v>
      </c>
      <c r="D23" s="10">
        <v>1</v>
      </c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R23" s="10"/>
      <c r="S23" s="13" t="s">
        <v>24</v>
      </c>
      <c r="T23" s="10">
        <v>4200</v>
      </c>
      <c r="U23" s="14">
        <v>1</v>
      </c>
      <c r="V23" s="14">
        <v>1</v>
      </c>
      <c r="W23" s="14">
        <v>1</v>
      </c>
      <c r="X23" s="14">
        <v>1</v>
      </c>
      <c r="Y23" s="14">
        <v>1</v>
      </c>
      <c r="Z23" s="14">
        <v>1</v>
      </c>
      <c r="AA23" s="14">
        <v>1</v>
      </c>
      <c r="AB23" s="14">
        <v>1</v>
      </c>
      <c r="AC23" s="14">
        <v>1</v>
      </c>
      <c r="AD23" s="14">
        <v>1</v>
      </c>
      <c r="AE23" s="14">
        <v>1</v>
      </c>
      <c r="AF23" s="14">
        <v>1</v>
      </c>
      <c r="AG23" s="10"/>
    </row>
    <row r="25" spans="1:47" x14ac:dyDescent="0.4">
      <c r="S25" s="1" t="s">
        <v>1</v>
      </c>
      <c r="T25" s="1" t="s">
        <v>52</v>
      </c>
    </row>
    <row r="26" spans="1:47" x14ac:dyDescent="0.4">
      <c r="A26" s="15" t="s">
        <v>26</v>
      </c>
      <c r="B26" s="15"/>
      <c r="C26" s="15"/>
      <c r="D26" s="16" t="s">
        <v>3</v>
      </c>
      <c r="E26" s="16" t="s">
        <v>4</v>
      </c>
      <c r="F26" s="16" t="s">
        <v>5</v>
      </c>
      <c r="G26" s="16" t="s">
        <v>6</v>
      </c>
      <c r="H26" s="16" t="s">
        <v>7</v>
      </c>
      <c r="I26" s="16" t="s">
        <v>8</v>
      </c>
      <c r="J26" s="16" t="s">
        <v>9</v>
      </c>
      <c r="K26" s="16" t="s">
        <v>10</v>
      </c>
      <c r="L26" s="16" t="s">
        <v>11</v>
      </c>
      <c r="M26" s="16" t="s">
        <v>12</v>
      </c>
      <c r="N26" s="16" t="s">
        <v>13</v>
      </c>
      <c r="O26" s="16" t="s">
        <v>14</v>
      </c>
      <c r="P26" s="15"/>
      <c r="R26" s="15" t="s">
        <v>26</v>
      </c>
      <c r="S26" s="15"/>
      <c r="T26" s="15"/>
      <c r="U26" s="17" t="s">
        <v>3</v>
      </c>
      <c r="V26" s="17" t="s">
        <v>4</v>
      </c>
      <c r="W26" s="17" t="s">
        <v>5</v>
      </c>
      <c r="X26" s="17" t="s">
        <v>6</v>
      </c>
      <c r="Y26" s="17" t="s">
        <v>7</v>
      </c>
      <c r="Z26" s="17" t="s">
        <v>8</v>
      </c>
      <c r="AA26" s="17" t="s">
        <v>9</v>
      </c>
      <c r="AB26" s="17" t="s">
        <v>10</v>
      </c>
      <c r="AC26" s="17" t="s">
        <v>11</v>
      </c>
      <c r="AD26" s="17" t="s">
        <v>12</v>
      </c>
      <c r="AE26" s="17" t="s">
        <v>13</v>
      </c>
      <c r="AF26" s="17" t="s">
        <v>14</v>
      </c>
      <c r="AG26" s="15"/>
      <c r="AJ26" s="1" t="s">
        <v>27</v>
      </c>
      <c r="AK26" s="1" t="s">
        <v>4</v>
      </c>
      <c r="AL26" s="1" t="s">
        <v>5</v>
      </c>
      <c r="AM26" s="1" t="s">
        <v>6</v>
      </c>
      <c r="AN26" s="1" t="s">
        <v>7</v>
      </c>
      <c r="AO26" s="1" t="s">
        <v>8</v>
      </c>
      <c r="AP26" s="1" t="s">
        <v>9</v>
      </c>
      <c r="AQ26" s="1" t="s">
        <v>10</v>
      </c>
      <c r="AR26" s="1" t="s">
        <v>11</v>
      </c>
      <c r="AS26" s="1" t="s">
        <v>12</v>
      </c>
      <c r="AT26" s="1" t="s">
        <v>13</v>
      </c>
      <c r="AU26" s="1" t="s">
        <v>14</v>
      </c>
    </row>
    <row r="27" spans="1:47" x14ac:dyDescent="0.4">
      <c r="A27" s="15"/>
      <c r="B27" s="18" t="s">
        <v>16</v>
      </c>
      <c r="C27" s="15">
        <v>3690</v>
      </c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R27" s="15"/>
      <c r="S27" s="18" t="s">
        <v>16</v>
      </c>
      <c r="T27" s="15">
        <v>3690</v>
      </c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5"/>
    </row>
    <row r="28" spans="1:47" x14ac:dyDescent="0.4">
      <c r="A28" s="15"/>
      <c r="B28" s="18" t="s">
        <v>17</v>
      </c>
      <c r="C28" s="15">
        <v>4130</v>
      </c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R28" s="15"/>
      <c r="S28" s="18" t="s">
        <v>17</v>
      </c>
      <c r="T28" s="15">
        <v>4130</v>
      </c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5"/>
    </row>
    <row r="29" spans="1:47" x14ac:dyDescent="0.4">
      <c r="A29" s="15"/>
      <c r="B29" s="18" t="s">
        <v>18</v>
      </c>
      <c r="C29" s="15">
        <v>6750</v>
      </c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R29" s="15"/>
      <c r="S29" s="18" t="s">
        <v>18</v>
      </c>
      <c r="T29" s="15">
        <v>6750</v>
      </c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5"/>
    </row>
    <row r="30" spans="1:47" x14ac:dyDescent="0.4">
      <c r="A30" s="15"/>
      <c r="B30" s="18" t="s">
        <v>19</v>
      </c>
      <c r="C30" s="15">
        <v>4200</v>
      </c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R30" s="15"/>
      <c r="S30" s="18" t="s">
        <v>19</v>
      </c>
      <c r="T30" s="15">
        <v>4200</v>
      </c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5"/>
    </row>
    <row r="31" spans="1:47" x14ac:dyDescent="0.4">
      <c r="A31" s="15"/>
      <c r="B31" s="18" t="s">
        <v>20</v>
      </c>
      <c r="C31" s="15">
        <v>4010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R31" s="15"/>
      <c r="S31" s="18" t="s">
        <v>20</v>
      </c>
      <c r="T31" s="15">
        <v>4010</v>
      </c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5"/>
    </row>
    <row r="32" spans="1:47" x14ac:dyDescent="0.4">
      <c r="A32" s="15"/>
      <c r="B32" s="18" t="s">
        <v>21</v>
      </c>
      <c r="C32" s="15">
        <v>3800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R32" s="15"/>
      <c r="S32" s="18" t="s">
        <v>21</v>
      </c>
      <c r="T32" s="15">
        <v>3800</v>
      </c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5"/>
    </row>
    <row r="33" spans="1:49" x14ac:dyDescent="0.4">
      <c r="A33" s="15"/>
      <c r="B33" s="18" t="s">
        <v>22</v>
      </c>
      <c r="C33" s="15">
        <v>3850</v>
      </c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R33" s="15"/>
      <c r="S33" s="18" t="s">
        <v>22</v>
      </c>
      <c r="T33" s="15">
        <v>3850</v>
      </c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5"/>
    </row>
    <row r="34" spans="1:49" x14ac:dyDescent="0.4">
      <c r="A34" s="15"/>
      <c r="B34" s="18" t="s">
        <v>23</v>
      </c>
      <c r="C34" s="15">
        <v>2630</v>
      </c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R34" s="15"/>
      <c r="S34" s="18" t="s">
        <v>23</v>
      </c>
      <c r="T34" s="15">
        <v>2630</v>
      </c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5"/>
    </row>
    <row r="35" spans="1:49" x14ac:dyDescent="0.4">
      <c r="A35" s="15"/>
      <c r="B35" s="18" t="s">
        <v>24</v>
      </c>
      <c r="C35" s="15">
        <v>4200</v>
      </c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R35" s="15"/>
      <c r="S35" s="18" t="s">
        <v>24</v>
      </c>
      <c r="T35" s="15">
        <v>4200</v>
      </c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5"/>
    </row>
    <row r="36" spans="1:49" x14ac:dyDescent="0.4">
      <c r="A36" s="15"/>
      <c r="B36" s="1" t="s">
        <v>28</v>
      </c>
      <c r="C36" s="1">
        <v>3800</v>
      </c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R36" s="15" t="s">
        <v>29</v>
      </c>
      <c r="S36" s="15" t="s">
        <v>28</v>
      </c>
      <c r="T36" s="15">
        <v>3800</v>
      </c>
      <c r="U36" s="19"/>
      <c r="V36" s="19"/>
      <c r="W36" s="19"/>
      <c r="X36" s="19">
        <v>24</v>
      </c>
      <c r="Y36" s="19">
        <v>24</v>
      </c>
      <c r="Z36" s="19">
        <v>24</v>
      </c>
      <c r="AA36" s="19">
        <v>24</v>
      </c>
      <c r="AB36" s="19">
        <v>24</v>
      </c>
      <c r="AC36" s="19">
        <v>24</v>
      </c>
      <c r="AD36" s="19">
        <v>24</v>
      </c>
      <c r="AE36" s="19">
        <v>24</v>
      </c>
      <c r="AF36" s="19">
        <v>24</v>
      </c>
      <c r="AG36" s="15"/>
    </row>
    <row r="37" spans="1:49" x14ac:dyDescent="0.4">
      <c r="A37" s="15"/>
      <c r="B37" s="1" t="s">
        <v>30</v>
      </c>
      <c r="C37" s="1">
        <v>3200</v>
      </c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R37" s="15"/>
      <c r="S37" s="15" t="s">
        <v>30</v>
      </c>
      <c r="T37" s="15">
        <v>3200</v>
      </c>
      <c r="U37" s="19"/>
      <c r="V37" s="19"/>
      <c r="W37" s="19"/>
      <c r="X37" s="19">
        <v>6</v>
      </c>
      <c r="Y37" s="19">
        <v>6</v>
      </c>
      <c r="Z37" s="19">
        <v>6</v>
      </c>
      <c r="AA37" s="19">
        <v>6</v>
      </c>
      <c r="AB37" s="19">
        <v>6</v>
      </c>
      <c r="AC37" s="19">
        <v>6</v>
      </c>
      <c r="AD37" s="19">
        <v>6</v>
      </c>
      <c r="AE37" s="19">
        <v>6</v>
      </c>
      <c r="AF37" s="19">
        <v>6</v>
      </c>
      <c r="AG37" s="15"/>
    </row>
    <row r="38" spans="1:49" x14ac:dyDescent="0.4">
      <c r="A38" s="15"/>
      <c r="B38" s="1" t="s">
        <v>31</v>
      </c>
      <c r="C38" s="1">
        <v>5000</v>
      </c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R38" s="15"/>
      <c r="S38" s="15" t="s">
        <v>31</v>
      </c>
      <c r="T38" s="15">
        <v>10000</v>
      </c>
      <c r="U38" s="19">
        <v>20</v>
      </c>
      <c r="V38" s="19">
        <v>20</v>
      </c>
      <c r="W38" s="19">
        <v>20</v>
      </c>
      <c r="X38" s="19">
        <v>20</v>
      </c>
      <c r="Y38" s="19">
        <v>20</v>
      </c>
      <c r="Z38" s="19">
        <v>20</v>
      </c>
      <c r="AA38" s="19">
        <v>20</v>
      </c>
      <c r="AB38" s="19">
        <v>20</v>
      </c>
      <c r="AC38" s="19">
        <v>20</v>
      </c>
      <c r="AD38" s="19">
        <v>20</v>
      </c>
      <c r="AE38" s="19">
        <v>20</v>
      </c>
      <c r="AF38" s="19">
        <v>20</v>
      </c>
      <c r="AG38" s="15"/>
      <c r="AH38" s="20"/>
      <c r="AI38" s="20"/>
    </row>
    <row r="39" spans="1:49" x14ac:dyDescent="0.4">
      <c r="A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R39" s="15" t="s">
        <v>32</v>
      </c>
      <c r="S39" s="15" t="s">
        <v>28</v>
      </c>
      <c r="T39" s="15">
        <v>3800</v>
      </c>
      <c r="U39" s="19"/>
      <c r="V39" s="19">
        <v>70</v>
      </c>
      <c r="W39" s="19">
        <v>70</v>
      </c>
      <c r="X39" s="19">
        <v>70</v>
      </c>
      <c r="Y39" s="19">
        <v>70</v>
      </c>
      <c r="Z39" s="19">
        <v>80</v>
      </c>
      <c r="AA39" s="19">
        <v>80</v>
      </c>
      <c r="AB39" s="19">
        <v>80</v>
      </c>
      <c r="AC39" s="19">
        <v>80</v>
      </c>
      <c r="AD39" s="19">
        <v>80</v>
      </c>
      <c r="AE39" s="19">
        <v>80</v>
      </c>
      <c r="AF39" s="19">
        <v>80</v>
      </c>
      <c r="AG39" s="15"/>
      <c r="AJ39" s="1">
        <v>0</v>
      </c>
      <c r="AK39" s="1">
        <v>0</v>
      </c>
      <c r="AL39" s="1">
        <v>0</v>
      </c>
      <c r="AM39" s="1">
        <v>70</v>
      </c>
      <c r="AN39" s="1">
        <v>70</v>
      </c>
      <c r="AO39" s="1">
        <v>70</v>
      </c>
      <c r="AP39" s="1">
        <v>70</v>
      </c>
      <c r="AQ39" s="1">
        <v>70</v>
      </c>
      <c r="AR39" s="1">
        <v>70</v>
      </c>
      <c r="AS39" s="1">
        <v>70</v>
      </c>
      <c r="AT39" s="1">
        <v>70</v>
      </c>
      <c r="AU39" s="1">
        <v>70</v>
      </c>
    </row>
    <row r="40" spans="1:49" x14ac:dyDescent="0.4">
      <c r="A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R40" s="15"/>
      <c r="S40" s="15" t="s">
        <v>30</v>
      </c>
      <c r="T40" s="15">
        <v>3200</v>
      </c>
      <c r="U40" s="19"/>
      <c r="V40" s="19">
        <v>10</v>
      </c>
      <c r="W40" s="19">
        <v>10</v>
      </c>
      <c r="X40" s="19">
        <v>10</v>
      </c>
      <c r="Y40" s="19">
        <v>10</v>
      </c>
      <c r="Z40" s="19">
        <v>20</v>
      </c>
      <c r="AA40" s="19">
        <v>20</v>
      </c>
      <c r="AB40" s="19">
        <v>20</v>
      </c>
      <c r="AC40" s="19">
        <v>20</v>
      </c>
      <c r="AD40" s="19">
        <v>20</v>
      </c>
      <c r="AE40" s="19">
        <v>20</v>
      </c>
      <c r="AF40" s="19">
        <v>20</v>
      </c>
      <c r="AG40" s="15"/>
      <c r="AH40" s="1" t="s">
        <v>33</v>
      </c>
      <c r="AI40" s="1">
        <v>3800</v>
      </c>
      <c r="AJ40" s="20">
        <f>U$39*$T$39</f>
        <v>0</v>
      </c>
      <c r="AK40" s="20">
        <f t="shared" ref="AK40:AU40" si="0">V$39*$T$39</f>
        <v>266000</v>
      </c>
      <c r="AL40" s="20">
        <f t="shared" si="0"/>
        <v>266000</v>
      </c>
      <c r="AM40" s="20">
        <f t="shared" si="0"/>
        <v>266000</v>
      </c>
      <c r="AN40" s="20">
        <f t="shared" si="0"/>
        <v>266000</v>
      </c>
      <c r="AO40" s="20">
        <f t="shared" si="0"/>
        <v>304000</v>
      </c>
      <c r="AP40" s="20">
        <f t="shared" si="0"/>
        <v>304000</v>
      </c>
      <c r="AQ40" s="20">
        <f t="shared" si="0"/>
        <v>304000</v>
      </c>
      <c r="AR40" s="20">
        <f t="shared" si="0"/>
        <v>304000</v>
      </c>
      <c r="AS40" s="20">
        <f t="shared" si="0"/>
        <v>304000</v>
      </c>
      <c r="AT40" s="20">
        <f t="shared" si="0"/>
        <v>304000</v>
      </c>
      <c r="AU40" s="20">
        <f t="shared" si="0"/>
        <v>304000</v>
      </c>
      <c r="AV40" s="21">
        <f>SUM(AJ40:AU40)</f>
        <v>3192000</v>
      </c>
      <c r="AW40" s="1" t="s">
        <v>34</v>
      </c>
    </row>
    <row r="41" spans="1:49" x14ac:dyDescent="0.4">
      <c r="A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R41" s="15"/>
      <c r="S41" s="15"/>
      <c r="T41" s="15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5"/>
      <c r="AH41" s="1" t="s">
        <v>35</v>
      </c>
      <c r="AI41" s="1">
        <v>4000</v>
      </c>
      <c r="AJ41" s="20">
        <f>$AI$41*AJ$39</f>
        <v>0</v>
      </c>
      <c r="AK41" s="20">
        <f t="shared" ref="AK41:AU41" si="1">$AI$41*AK$39</f>
        <v>0</v>
      </c>
      <c r="AL41" s="20">
        <f t="shared" si="1"/>
        <v>0</v>
      </c>
      <c r="AM41" s="20">
        <f t="shared" si="1"/>
        <v>280000</v>
      </c>
      <c r="AN41" s="20">
        <f t="shared" si="1"/>
        <v>280000</v>
      </c>
      <c r="AO41" s="20">
        <f t="shared" si="1"/>
        <v>280000</v>
      </c>
      <c r="AP41" s="20">
        <f t="shared" si="1"/>
        <v>280000</v>
      </c>
      <c r="AQ41" s="20">
        <f t="shared" si="1"/>
        <v>280000</v>
      </c>
      <c r="AR41" s="20">
        <f t="shared" si="1"/>
        <v>280000</v>
      </c>
      <c r="AS41" s="20">
        <f t="shared" si="1"/>
        <v>280000</v>
      </c>
      <c r="AT41" s="20">
        <f t="shared" si="1"/>
        <v>280000</v>
      </c>
      <c r="AU41" s="20">
        <f t="shared" si="1"/>
        <v>280000</v>
      </c>
      <c r="AV41" s="21">
        <f>SUM(AJ41:AU41)</f>
        <v>2520000</v>
      </c>
      <c r="AW41" s="22">
        <f>AV41-AV40</f>
        <v>-672000</v>
      </c>
    </row>
    <row r="42" spans="1:49" x14ac:dyDescent="0.4">
      <c r="A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R42" s="15"/>
      <c r="S42" s="15"/>
      <c r="T42" s="15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5"/>
    </row>
    <row r="43" spans="1:49" x14ac:dyDescent="0.4">
      <c r="A43" s="23"/>
      <c r="B43" s="24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R43" s="23"/>
      <c r="S43" s="24"/>
      <c r="T43" s="23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3"/>
    </row>
    <row r="45" spans="1:49" x14ac:dyDescent="0.4">
      <c r="R45" s="1" t="s">
        <v>36</v>
      </c>
      <c r="S45" s="1" t="s">
        <v>37</v>
      </c>
      <c r="T45" s="1" t="s">
        <v>52</v>
      </c>
    </row>
    <row r="46" spans="1:49" x14ac:dyDescent="0.4">
      <c r="A46" s="26" t="s">
        <v>38</v>
      </c>
      <c r="B46" s="26"/>
      <c r="C46" s="26"/>
      <c r="D46" s="27" t="s">
        <v>3</v>
      </c>
      <c r="E46" s="27" t="s">
        <v>4</v>
      </c>
      <c r="F46" s="27" t="s">
        <v>5</v>
      </c>
      <c r="G46" s="27" t="s">
        <v>6</v>
      </c>
      <c r="H46" s="27" t="s">
        <v>7</v>
      </c>
      <c r="I46" s="27" t="s">
        <v>8</v>
      </c>
      <c r="J46" s="27" t="s">
        <v>9</v>
      </c>
      <c r="K46" s="27" t="s">
        <v>10</v>
      </c>
      <c r="L46" s="27" t="s">
        <v>11</v>
      </c>
      <c r="M46" s="27" t="s">
        <v>12</v>
      </c>
      <c r="N46" s="27" t="s">
        <v>13</v>
      </c>
      <c r="O46" s="27" t="s">
        <v>14</v>
      </c>
      <c r="P46" s="27" t="s">
        <v>15</v>
      </c>
      <c r="R46" s="26" t="s">
        <v>38</v>
      </c>
      <c r="S46" s="26"/>
      <c r="T46" s="26"/>
      <c r="U46" s="28" t="s">
        <v>3</v>
      </c>
      <c r="V46" s="28" t="s">
        <v>4</v>
      </c>
      <c r="W46" s="28" t="s">
        <v>5</v>
      </c>
      <c r="X46" s="28" t="s">
        <v>6</v>
      </c>
      <c r="Y46" s="28" t="s">
        <v>7</v>
      </c>
      <c r="Z46" s="28" t="s">
        <v>8</v>
      </c>
      <c r="AA46" s="28" t="s">
        <v>9</v>
      </c>
      <c r="AB46" s="28" t="s">
        <v>10</v>
      </c>
      <c r="AC46" s="28" t="s">
        <v>11</v>
      </c>
      <c r="AD46" s="28" t="s">
        <v>12</v>
      </c>
      <c r="AE46" s="28" t="s">
        <v>13</v>
      </c>
      <c r="AF46" s="28" t="s">
        <v>14</v>
      </c>
      <c r="AG46" s="27" t="s">
        <v>15</v>
      </c>
    </row>
    <row r="47" spans="1:49" x14ac:dyDescent="0.4">
      <c r="A47" s="26"/>
      <c r="B47" s="29" t="s">
        <v>16</v>
      </c>
      <c r="C47" s="26">
        <v>3690</v>
      </c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R47" s="26"/>
      <c r="S47" s="29" t="s">
        <v>16</v>
      </c>
      <c r="T47" s="26">
        <v>3690</v>
      </c>
      <c r="U47" s="30">
        <f t="shared" ref="U47:AF47" si="2">U3*$T$3</f>
        <v>3690</v>
      </c>
      <c r="V47" s="30">
        <f t="shared" si="2"/>
        <v>3690</v>
      </c>
      <c r="W47" s="30">
        <f t="shared" si="2"/>
        <v>3690</v>
      </c>
      <c r="X47" s="30">
        <f t="shared" si="2"/>
        <v>3690</v>
      </c>
      <c r="Y47" s="30">
        <f t="shared" si="2"/>
        <v>3690</v>
      </c>
      <c r="Z47" s="30">
        <f t="shared" si="2"/>
        <v>3690</v>
      </c>
      <c r="AA47" s="30">
        <f t="shared" si="2"/>
        <v>3690</v>
      </c>
      <c r="AB47" s="30">
        <f t="shared" si="2"/>
        <v>3690</v>
      </c>
      <c r="AC47" s="30">
        <f t="shared" si="2"/>
        <v>3690</v>
      </c>
      <c r="AD47" s="30">
        <f t="shared" si="2"/>
        <v>3690</v>
      </c>
      <c r="AE47" s="30">
        <f t="shared" si="2"/>
        <v>3690</v>
      </c>
      <c r="AF47" s="30">
        <f t="shared" si="2"/>
        <v>3690</v>
      </c>
      <c r="AG47" s="26"/>
    </row>
    <row r="48" spans="1:49" x14ac:dyDescent="0.4">
      <c r="A48" s="26"/>
      <c r="B48" s="29" t="s">
        <v>17</v>
      </c>
      <c r="C48" s="26">
        <v>4130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R48" s="26"/>
      <c r="S48" s="29" t="s">
        <v>17</v>
      </c>
      <c r="T48" s="26">
        <v>4130</v>
      </c>
      <c r="U48" s="30">
        <f t="shared" ref="U48:AF48" si="3">U4*$T$4</f>
        <v>330400</v>
      </c>
      <c r="V48" s="30">
        <f t="shared" si="3"/>
        <v>330400</v>
      </c>
      <c r="W48" s="30">
        <f t="shared" si="3"/>
        <v>330400</v>
      </c>
      <c r="X48" s="30">
        <f t="shared" si="3"/>
        <v>330400</v>
      </c>
      <c r="Y48" s="30">
        <f t="shared" si="3"/>
        <v>330400</v>
      </c>
      <c r="Z48" s="30">
        <f t="shared" si="3"/>
        <v>330400</v>
      </c>
      <c r="AA48" s="30">
        <f t="shared" si="3"/>
        <v>330400</v>
      </c>
      <c r="AB48" s="30">
        <f t="shared" si="3"/>
        <v>330400</v>
      </c>
      <c r="AC48" s="30">
        <f t="shared" si="3"/>
        <v>330400</v>
      </c>
      <c r="AD48" s="30">
        <f t="shared" si="3"/>
        <v>330400</v>
      </c>
      <c r="AE48" s="30">
        <f t="shared" si="3"/>
        <v>330400</v>
      </c>
      <c r="AF48" s="30">
        <f t="shared" si="3"/>
        <v>330400</v>
      </c>
      <c r="AG48" s="26"/>
    </row>
    <row r="49" spans="1:33" x14ac:dyDescent="0.4">
      <c r="A49" s="26"/>
      <c r="B49" s="29" t="s">
        <v>18</v>
      </c>
      <c r="C49" s="26">
        <v>6750</v>
      </c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R49" s="26"/>
      <c r="S49" s="29" t="s">
        <v>18</v>
      </c>
      <c r="T49" s="26">
        <v>6750</v>
      </c>
      <c r="U49" s="30">
        <f t="shared" ref="U49:AF49" si="4">U5*$T$5</f>
        <v>13500</v>
      </c>
      <c r="V49" s="30">
        <f t="shared" si="4"/>
        <v>13500</v>
      </c>
      <c r="W49" s="30">
        <f t="shared" si="4"/>
        <v>13500</v>
      </c>
      <c r="X49" s="30">
        <f t="shared" si="4"/>
        <v>13500</v>
      </c>
      <c r="Y49" s="30">
        <f t="shared" si="4"/>
        <v>13500</v>
      </c>
      <c r="Z49" s="30">
        <f t="shared" si="4"/>
        <v>13500</v>
      </c>
      <c r="AA49" s="30">
        <f t="shared" si="4"/>
        <v>13500</v>
      </c>
      <c r="AB49" s="30">
        <f t="shared" si="4"/>
        <v>13500</v>
      </c>
      <c r="AC49" s="30">
        <f t="shared" si="4"/>
        <v>13500</v>
      </c>
      <c r="AD49" s="30">
        <f t="shared" si="4"/>
        <v>13500</v>
      </c>
      <c r="AE49" s="30">
        <f t="shared" si="4"/>
        <v>13500</v>
      </c>
      <c r="AF49" s="30">
        <f t="shared" si="4"/>
        <v>13500</v>
      </c>
      <c r="AG49" s="26"/>
    </row>
    <row r="50" spans="1:33" x14ac:dyDescent="0.4">
      <c r="A50" s="26"/>
      <c r="B50" s="29" t="s">
        <v>19</v>
      </c>
      <c r="C50" s="26">
        <v>4200</v>
      </c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R50" s="26"/>
      <c r="S50" s="29" t="s">
        <v>19</v>
      </c>
      <c r="T50" s="26">
        <v>4200</v>
      </c>
      <c r="U50" s="30">
        <f t="shared" ref="U50:AF50" si="5">U6*$T$6</f>
        <v>75600</v>
      </c>
      <c r="V50" s="30">
        <f t="shared" si="5"/>
        <v>75600</v>
      </c>
      <c r="W50" s="30">
        <f t="shared" si="5"/>
        <v>75600</v>
      </c>
      <c r="X50" s="30">
        <f t="shared" si="5"/>
        <v>75600</v>
      </c>
      <c r="Y50" s="30">
        <f t="shared" si="5"/>
        <v>75600</v>
      </c>
      <c r="Z50" s="30">
        <f t="shared" si="5"/>
        <v>75600</v>
      </c>
      <c r="AA50" s="30">
        <f t="shared" si="5"/>
        <v>75600</v>
      </c>
      <c r="AB50" s="30">
        <f t="shared" si="5"/>
        <v>75600</v>
      </c>
      <c r="AC50" s="30">
        <f t="shared" si="5"/>
        <v>75600</v>
      </c>
      <c r="AD50" s="30">
        <f t="shared" si="5"/>
        <v>75600</v>
      </c>
      <c r="AE50" s="30">
        <f t="shared" si="5"/>
        <v>75600</v>
      </c>
      <c r="AF50" s="30">
        <f t="shared" si="5"/>
        <v>75600</v>
      </c>
      <c r="AG50" s="26"/>
    </row>
    <row r="51" spans="1:33" x14ac:dyDescent="0.4">
      <c r="A51" s="26"/>
      <c r="B51" s="29" t="s">
        <v>20</v>
      </c>
      <c r="C51" s="26">
        <v>4010</v>
      </c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R51" s="26"/>
      <c r="S51" s="29" t="s">
        <v>20</v>
      </c>
      <c r="T51" s="26">
        <v>4010</v>
      </c>
      <c r="U51" s="30">
        <f t="shared" ref="U51:AF51" si="6">U7*$T$7</f>
        <v>280700</v>
      </c>
      <c r="V51" s="30">
        <f t="shared" si="6"/>
        <v>280700</v>
      </c>
      <c r="W51" s="30">
        <f t="shared" si="6"/>
        <v>280700</v>
      </c>
      <c r="X51" s="30">
        <f t="shared" si="6"/>
        <v>280700</v>
      </c>
      <c r="Y51" s="30">
        <f t="shared" si="6"/>
        <v>280700</v>
      </c>
      <c r="Z51" s="30">
        <f t="shared" si="6"/>
        <v>280700</v>
      </c>
      <c r="AA51" s="30">
        <f t="shared" si="6"/>
        <v>280700</v>
      </c>
      <c r="AB51" s="30">
        <f t="shared" si="6"/>
        <v>280700</v>
      </c>
      <c r="AC51" s="30">
        <f t="shared" si="6"/>
        <v>280700</v>
      </c>
      <c r="AD51" s="30">
        <f t="shared" si="6"/>
        <v>280700</v>
      </c>
      <c r="AE51" s="30">
        <f t="shared" si="6"/>
        <v>280700</v>
      </c>
      <c r="AF51" s="30">
        <f t="shared" si="6"/>
        <v>280700</v>
      </c>
      <c r="AG51" s="26"/>
    </row>
    <row r="52" spans="1:33" x14ac:dyDescent="0.4">
      <c r="A52" s="26"/>
      <c r="B52" s="29" t="s">
        <v>21</v>
      </c>
      <c r="C52" s="26">
        <v>3800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R52" s="26"/>
      <c r="S52" s="29" t="s">
        <v>21</v>
      </c>
      <c r="T52" s="26">
        <v>3800</v>
      </c>
      <c r="U52" s="30">
        <f t="shared" ref="U52:AF52" si="7">U8*$T$8</f>
        <v>513000</v>
      </c>
      <c r="V52" s="30">
        <f t="shared" si="7"/>
        <v>513000</v>
      </c>
      <c r="W52" s="30">
        <f t="shared" si="7"/>
        <v>513000</v>
      </c>
      <c r="X52" s="30">
        <f t="shared" si="7"/>
        <v>513000</v>
      </c>
      <c r="Y52" s="30">
        <f t="shared" si="7"/>
        <v>513000</v>
      </c>
      <c r="Z52" s="30">
        <f t="shared" si="7"/>
        <v>513000</v>
      </c>
      <c r="AA52" s="30">
        <f t="shared" si="7"/>
        <v>513000</v>
      </c>
      <c r="AB52" s="30">
        <f t="shared" si="7"/>
        <v>513000</v>
      </c>
      <c r="AC52" s="30">
        <f t="shared" si="7"/>
        <v>513000</v>
      </c>
      <c r="AD52" s="30">
        <f t="shared" si="7"/>
        <v>513000</v>
      </c>
      <c r="AE52" s="30">
        <f t="shared" si="7"/>
        <v>513000</v>
      </c>
      <c r="AF52" s="30">
        <f t="shared" si="7"/>
        <v>513000</v>
      </c>
      <c r="AG52" s="26"/>
    </row>
    <row r="53" spans="1:33" x14ac:dyDescent="0.4">
      <c r="A53" s="26"/>
      <c r="B53" s="29" t="s">
        <v>22</v>
      </c>
      <c r="C53" s="26">
        <v>3850</v>
      </c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R53" s="26"/>
      <c r="S53" s="29" t="s">
        <v>22</v>
      </c>
      <c r="T53" s="26">
        <v>3850</v>
      </c>
      <c r="U53" s="30">
        <f t="shared" ref="U53:AF53" si="8">U9*$T$9</f>
        <v>731500</v>
      </c>
      <c r="V53" s="30">
        <f t="shared" si="8"/>
        <v>731500</v>
      </c>
      <c r="W53" s="30">
        <f t="shared" si="8"/>
        <v>731500</v>
      </c>
      <c r="X53" s="30">
        <f t="shared" si="8"/>
        <v>731500</v>
      </c>
      <c r="Y53" s="30">
        <f t="shared" si="8"/>
        <v>731500</v>
      </c>
      <c r="Z53" s="30">
        <f t="shared" si="8"/>
        <v>731500</v>
      </c>
      <c r="AA53" s="30">
        <f t="shared" si="8"/>
        <v>731500</v>
      </c>
      <c r="AB53" s="30">
        <f t="shared" si="8"/>
        <v>731500</v>
      </c>
      <c r="AC53" s="30">
        <f t="shared" si="8"/>
        <v>731500</v>
      </c>
      <c r="AD53" s="30">
        <f t="shared" si="8"/>
        <v>731500</v>
      </c>
      <c r="AE53" s="30">
        <f t="shared" si="8"/>
        <v>731500</v>
      </c>
      <c r="AF53" s="30">
        <f t="shared" si="8"/>
        <v>731500</v>
      </c>
      <c r="AG53" s="26"/>
    </row>
    <row r="54" spans="1:33" x14ac:dyDescent="0.4">
      <c r="A54" s="26"/>
      <c r="B54" s="29" t="s">
        <v>23</v>
      </c>
      <c r="C54" s="26">
        <v>2630</v>
      </c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R54" s="26"/>
      <c r="S54" s="29" t="s">
        <v>23</v>
      </c>
      <c r="T54" s="26">
        <v>2630</v>
      </c>
      <c r="U54" s="30">
        <f t="shared" ref="U54:AF54" si="9">U10*$T$10</f>
        <v>263000</v>
      </c>
      <c r="V54" s="30">
        <f t="shared" si="9"/>
        <v>263000</v>
      </c>
      <c r="W54" s="30">
        <f t="shared" si="9"/>
        <v>263000</v>
      </c>
      <c r="X54" s="30">
        <f t="shared" si="9"/>
        <v>263000</v>
      </c>
      <c r="Y54" s="30">
        <f t="shared" si="9"/>
        <v>263000</v>
      </c>
      <c r="Z54" s="30">
        <f t="shared" si="9"/>
        <v>263000</v>
      </c>
      <c r="AA54" s="30">
        <f t="shared" si="9"/>
        <v>263000</v>
      </c>
      <c r="AB54" s="30">
        <f t="shared" si="9"/>
        <v>263000</v>
      </c>
      <c r="AC54" s="30">
        <f t="shared" si="9"/>
        <v>263000</v>
      </c>
      <c r="AD54" s="30">
        <f t="shared" si="9"/>
        <v>263000</v>
      </c>
      <c r="AE54" s="30">
        <f t="shared" si="9"/>
        <v>263000</v>
      </c>
      <c r="AF54" s="30">
        <f t="shared" si="9"/>
        <v>263000</v>
      </c>
      <c r="AG54" s="26"/>
    </row>
    <row r="55" spans="1:33" x14ac:dyDescent="0.4">
      <c r="A55" s="26"/>
      <c r="B55" s="29" t="s">
        <v>24</v>
      </c>
      <c r="C55" s="26">
        <v>4200</v>
      </c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R55" s="26"/>
      <c r="S55" s="29" t="s">
        <v>24</v>
      </c>
      <c r="T55" s="26">
        <v>4200</v>
      </c>
      <c r="U55" s="30">
        <f t="shared" ref="U55:AF55" si="10">U11*$T$11</f>
        <v>4200</v>
      </c>
      <c r="V55" s="30">
        <f t="shared" si="10"/>
        <v>4200</v>
      </c>
      <c r="W55" s="30">
        <f t="shared" si="10"/>
        <v>4200</v>
      </c>
      <c r="X55" s="30">
        <f t="shared" si="10"/>
        <v>4200</v>
      </c>
      <c r="Y55" s="30">
        <f t="shared" si="10"/>
        <v>4200</v>
      </c>
      <c r="Z55" s="30">
        <f t="shared" si="10"/>
        <v>4200</v>
      </c>
      <c r="AA55" s="30">
        <f t="shared" si="10"/>
        <v>4200</v>
      </c>
      <c r="AB55" s="30">
        <f t="shared" si="10"/>
        <v>4200</v>
      </c>
      <c r="AC55" s="30">
        <f t="shared" si="10"/>
        <v>4200</v>
      </c>
      <c r="AD55" s="30">
        <f t="shared" si="10"/>
        <v>4200</v>
      </c>
      <c r="AE55" s="30">
        <f t="shared" si="10"/>
        <v>4200</v>
      </c>
      <c r="AF55" s="30">
        <f t="shared" si="10"/>
        <v>4200</v>
      </c>
      <c r="AG55" s="30">
        <f>SUM(U47:AF55)</f>
        <v>26587080</v>
      </c>
    </row>
    <row r="56" spans="1:33" x14ac:dyDescent="0.4">
      <c r="R56" s="1" t="s">
        <v>39</v>
      </c>
      <c r="S56" s="1" t="s">
        <v>37</v>
      </c>
      <c r="T56" s="1" t="s">
        <v>52</v>
      </c>
    </row>
    <row r="57" spans="1:33" x14ac:dyDescent="0.4">
      <c r="R57" s="31" t="s">
        <v>38</v>
      </c>
      <c r="S57" s="31"/>
      <c r="T57" s="31"/>
      <c r="U57" s="32" t="s">
        <v>3</v>
      </c>
      <c r="V57" s="32" t="s">
        <v>4</v>
      </c>
      <c r="W57" s="32" t="s">
        <v>5</v>
      </c>
      <c r="X57" s="32" t="s">
        <v>6</v>
      </c>
      <c r="Y57" s="32" t="s">
        <v>7</v>
      </c>
      <c r="Z57" s="32" t="s">
        <v>8</v>
      </c>
      <c r="AA57" s="32" t="s">
        <v>9</v>
      </c>
      <c r="AB57" s="32" t="s">
        <v>10</v>
      </c>
      <c r="AC57" s="32" t="s">
        <v>11</v>
      </c>
      <c r="AD57" s="32" t="s">
        <v>12</v>
      </c>
      <c r="AE57" s="32" t="s">
        <v>13</v>
      </c>
      <c r="AF57" s="32" t="s">
        <v>14</v>
      </c>
      <c r="AG57" s="33" t="s">
        <v>15</v>
      </c>
    </row>
    <row r="58" spans="1:33" x14ac:dyDescent="0.4">
      <c r="R58" s="31"/>
      <c r="S58" s="34" t="s">
        <v>16</v>
      </c>
      <c r="T58" s="31">
        <v>3690</v>
      </c>
      <c r="U58" s="35">
        <f t="shared" ref="U58:AF58" si="11">U15*$T$15</f>
        <v>0</v>
      </c>
      <c r="V58" s="35">
        <f t="shared" si="11"/>
        <v>0</v>
      </c>
      <c r="W58" s="35">
        <f t="shared" si="11"/>
        <v>0</v>
      </c>
      <c r="X58" s="35">
        <f t="shared" si="11"/>
        <v>0</v>
      </c>
      <c r="Y58" s="35">
        <f t="shared" si="11"/>
        <v>0</v>
      </c>
      <c r="Z58" s="35">
        <f t="shared" si="11"/>
        <v>0</v>
      </c>
      <c r="AA58" s="35">
        <f t="shared" si="11"/>
        <v>0</v>
      </c>
      <c r="AB58" s="35">
        <f t="shared" si="11"/>
        <v>0</v>
      </c>
      <c r="AC58" s="35">
        <f t="shared" si="11"/>
        <v>0</v>
      </c>
      <c r="AD58" s="35">
        <f t="shared" si="11"/>
        <v>0</v>
      </c>
      <c r="AE58" s="35">
        <f t="shared" si="11"/>
        <v>0</v>
      </c>
      <c r="AF58" s="35">
        <f t="shared" si="11"/>
        <v>0</v>
      </c>
      <c r="AG58" s="31"/>
    </row>
    <row r="59" spans="1:33" x14ac:dyDescent="0.4">
      <c r="R59" s="31"/>
      <c r="S59" s="34" t="s">
        <v>17</v>
      </c>
      <c r="T59" s="31">
        <v>4130</v>
      </c>
      <c r="U59" s="35">
        <f t="shared" ref="U59:AF59" si="12">U16*$T$16</f>
        <v>0</v>
      </c>
      <c r="V59" s="35">
        <f t="shared" si="12"/>
        <v>0</v>
      </c>
      <c r="W59" s="35">
        <f t="shared" si="12"/>
        <v>0</v>
      </c>
      <c r="X59" s="35">
        <f t="shared" si="12"/>
        <v>0</v>
      </c>
      <c r="Y59" s="35">
        <f t="shared" si="12"/>
        <v>0</v>
      </c>
      <c r="Z59" s="35">
        <f t="shared" si="12"/>
        <v>0</v>
      </c>
      <c r="AA59" s="35">
        <f t="shared" si="12"/>
        <v>0</v>
      </c>
      <c r="AB59" s="35">
        <f t="shared" si="12"/>
        <v>0</v>
      </c>
      <c r="AC59" s="35">
        <f t="shared" si="12"/>
        <v>0</v>
      </c>
      <c r="AD59" s="35">
        <f t="shared" si="12"/>
        <v>0</v>
      </c>
      <c r="AE59" s="35">
        <f t="shared" si="12"/>
        <v>0</v>
      </c>
      <c r="AF59" s="35">
        <f t="shared" si="12"/>
        <v>0</v>
      </c>
      <c r="AG59" s="31"/>
    </row>
    <row r="60" spans="1:33" x14ac:dyDescent="0.4">
      <c r="R60" s="31"/>
      <c r="S60" s="34" t="s">
        <v>18</v>
      </c>
      <c r="T60" s="31">
        <v>6750</v>
      </c>
      <c r="U60" s="35">
        <f t="shared" ref="U60:AF60" si="13">U17*$T$17</f>
        <v>0</v>
      </c>
      <c r="V60" s="35">
        <f t="shared" si="13"/>
        <v>0</v>
      </c>
      <c r="W60" s="35">
        <f t="shared" si="13"/>
        <v>0</v>
      </c>
      <c r="X60" s="35">
        <f t="shared" si="13"/>
        <v>0</v>
      </c>
      <c r="Y60" s="35">
        <f t="shared" si="13"/>
        <v>0</v>
      </c>
      <c r="Z60" s="35">
        <f t="shared" si="13"/>
        <v>0</v>
      </c>
      <c r="AA60" s="35">
        <f t="shared" si="13"/>
        <v>0</v>
      </c>
      <c r="AB60" s="35">
        <f t="shared" si="13"/>
        <v>0</v>
      </c>
      <c r="AC60" s="35">
        <f t="shared" si="13"/>
        <v>0</v>
      </c>
      <c r="AD60" s="35">
        <f t="shared" si="13"/>
        <v>0</v>
      </c>
      <c r="AE60" s="35">
        <f t="shared" si="13"/>
        <v>0</v>
      </c>
      <c r="AF60" s="35">
        <f t="shared" si="13"/>
        <v>0</v>
      </c>
      <c r="AG60" s="31"/>
    </row>
    <row r="61" spans="1:33" x14ac:dyDescent="0.4">
      <c r="R61" s="31"/>
      <c r="S61" s="34" t="s">
        <v>19</v>
      </c>
      <c r="T61" s="31">
        <v>4200</v>
      </c>
      <c r="U61" s="35">
        <f t="shared" ref="U61:AF61" si="14">U18*$T$18</f>
        <v>0</v>
      </c>
      <c r="V61" s="35">
        <f t="shared" si="14"/>
        <v>75600</v>
      </c>
      <c r="W61" s="35">
        <f t="shared" si="14"/>
        <v>75600</v>
      </c>
      <c r="X61" s="35">
        <f t="shared" si="14"/>
        <v>75600</v>
      </c>
      <c r="Y61" s="35">
        <f t="shared" si="14"/>
        <v>75600</v>
      </c>
      <c r="Z61" s="35">
        <f t="shared" si="14"/>
        <v>75600</v>
      </c>
      <c r="AA61" s="35">
        <f t="shared" si="14"/>
        <v>75600</v>
      </c>
      <c r="AB61" s="35">
        <f t="shared" si="14"/>
        <v>75600</v>
      </c>
      <c r="AC61" s="35">
        <f t="shared" si="14"/>
        <v>75600</v>
      </c>
      <c r="AD61" s="35">
        <f t="shared" si="14"/>
        <v>75600</v>
      </c>
      <c r="AE61" s="35">
        <f t="shared" si="14"/>
        <v>75600</v>
      </c>
      <c r="AF61" s="35">
        <f t="shared" si="14"/>
        <v>75600</v>
      </c>
      <c r="AG61" s="31"/>
    </row>
    <row r="62" spans="1:33" x14ac:dyDescent="0.4">
      <c r="R62" s="31"/>
      <c r="S62" s="34" t="s">
        <v>20</v>
      </c>
      <c r="T62" s="31">
        <v>4010</v>
      </c>
      <c r="U62" s="35">
        <f t="shared" ref="U62:AF62" si="15">U19*$T$19</f>
        <v>0</v>
      </c>
      <c r="V62" s="35">
        <f t="shared" si="15"/>
        <v>0</v>
      </c>
      <c r="W62" s="35">
        <f t="shared" si="15"/>
        <v>0</v>
      </c>
      <c r="X62" s="35">
        <f t="shared" si="15"/>
        <v>0</v>
      </c>
      <c r="Y62" s="35">
        <f t="shared" si="15"/>
        <v>0</v>
      </c>
      <c r="Z62" s="35">
        <f t="shared" si="15"/>
        <v>0</v>
      </c>
      <c r="AA62" s="35">
        <f t="shared" si="15"/>
        <v>0</v>
      </c>
      <c r="AB62" s="35">
        <f t="shared" si="15"/>
        <v>0</v>
      </c>
      <c r="AC62" s="35">
        <f t="shared" si="15"/>
        <v>0</v>
      </c>
      <c r="AD62" s="35">
        <f t="shared" si="15"/>
        <v>0</v>
      </c>
      <c r="AE62" s="35">
        <f t="shared" si="15"/>
        <v>0</v>
      </c>
      <c r="AF62" s="35">
        <f t="shared" si="15"/>
        <v>0</v>
      </c>
      <c r="AG62" s="31"/>
    </row>
    <row r="63" spans="1:33" x14ac:dyDescent="0.4">
      <c r="R63" s="31"/>
      <c r="S63" s="34" t="s">
        <v>21</v>
      </c>
      <c r="T63" s="31">
        <v>3800</v>
      </c>
      <c r="U63" s="35">
        <f t="shared" ref="U63:AF63" si="16">U20*$T$20</f>
        <v>0</v>
      </c>
      <c r="V63" s="35">
        <f t="shared" si="16"/>
        <v>0</v>
      </c>
      <c r="W63" s="35">
        <f t="shared" si="16"/>
        <v>0</v>
      </c>
      <c r="X63" s="35">
        <f t="shared" si="16"/>
        <v>0</v>
      </c>
      <c r="Y63" s="35">
        <f t="shared" si="16"/>
        <v>0</v>
      </c>
      <c r="Z63" s="35">
        <f t="shared" si="16"/>
        <v>0</v>
      </c>
      <c r="AA63" s="35">
        <f t="shared" si="16"/>
        <v>0</v>
      </c>
      <c r="AB63" s="35">
        <f t="shared" si="16"/>
        <v>0</v>
      </c>
      <c r="AC63" s="35">
        <f t="shared" si="16"/>
        <v>0</v>
      </c>
      <c r="AD63" s="35">
        <f t="shared" si="16"/>
        <v>0</v>
      </c>
      <c r="AE63" s="35">
        <f t="shared" si="16"/>
        <v>0</v>
      </c>
      <c r="AF63" s="35">
        <f t="shared" si="16"/>
        <v>0</v>
      </c>
      <c r="AG63" s="31"/>
    </row>
    <row r="64" spans="1:33" x14ac:dyDescent="0.4">
      <c r="R64" s="31"/>
      <c r="S64" s="34" t="s">
        <v>22</v>
      </c>
      <c r="T64" s="31">
        <v>3850</v>
      </c>
      <c r="U64" s="35">
        <f t="shared" ref="U64:AF64" si="17">U21*$T$21</f>
        <v>0</v>
      </c>
      <c r="V64" s="35">
        <f t="shared" si="17"/>
        <v>0</v>
      </c>
      <c r="W64" s="35">
        <f t="shared" si="17"/>
        <v>0</v>
      </c>
      <c r="X64" s="35">
        <f t="shared" si="17"/>
        <v>0</v>
      </c>
      <c r="Y64" s="35">
        <f t="shared" si="17"/>
        <v>327250</v>
      </c>
      <c r="Z64" s="35">
        <f t="shared" si="17"/>
        <v>404250</v>
      </c>
      <c r="AA64" s="35">
        <f t="shared" si="17"/>
        <v>404250</v>
      </c>
      <c r="AB64" s="35">
        <f t="shared" si="17"/>
        <v>404250</v>
      </c>
      <c r="AC64" s="35">
        <f t="shared" si="17"/>
        <v>404250</v>
      </c>
      <c r="AD64" s="35">
        <f t="shared" si="17"/>
        <v>519750</v>
      </c>
      <c r="AE64" s="35">
        <f t="shared" si="17"/>
        <v>519750</v>
      </c>
      <c r="AF64" s="35">
        <f t="shared" si="17"/>
        <v>519750</v>
      </c>
      <c r="AG64" s="31"/>
    </row>
    <row r="65" spans="18:33" x14ac:dyDescent="0.4">
      <c r="R65" s="31"/>
      <c r="S65" s="34" t="s">
        <v>23</v>
      </c>
      <c r="T65" s="31">
        <v>2630</v>
      </c>
      <c r="U65" s="35">
        <f t="shared" ref="U65:AF65" si="18">U22*$T$22</f>
        <v>0</v>
      </c>
      <c r="V65" s="35">
        <f t="shared" si="18"/>
        <v>0</v>
      </c>
      <c r="W65" s="35">
        <f t="shared" si="18"/>
        <v>0</v>
      </c>
      <c r="X65" s="35">
        <f t="shared" si="18"/>
        <v>0</v>
      </c>
      <c r="Y65" s="35">
        <f t="shared" si="18"/>
        <v>0</v>
      </c>
      <c r="Z65" s="35">
        <f t="shared" si="18"/>
        <v>0</v>
      </c>
      <c r="AA65" s="35">
        <f t="shared" si="18"/>
        <v>0</v>
      </c>
      <c r="AB65" s="35">
        <f t="shared" si="18"/>
        <v>0</v>
      </c>
      <c r="AC65" s="35">
        <f t="shared" si="18"/>
        <v>0</v>
      </c>
      <c r="AD65" s="35">
        <f t="shared" si="18"/>
        <v>0</v>
      </c>
      <c r="AE65" s="35">
        <f t="shared" si="18"/>
        <v>0</v>
      </c>
      <c r="AF65" s="35">
        <f t="shared" si="18"/>
        <v>0</v>
      </c>
      <c r="AG65" s="31"/>
    </row>
    <row r="66" spans="18:33" x14ac:dyDescent="0.4">
      <c r="R66" s="31"/>
      <c r="S66" s="34" t="s">
        <v>24</v>
      </c>
      <c r="T66" s="31">
        <v>4200</v>
      </c>
      <c r="U66" s="35">
        <f t="shared" ref="U66:AF66" si="19">U23*$T$23</f>
        <v>4200</v>
      </c>
      <c r="V66" s="35">
        <f t="shared" si="19"/>
        <v>4200</v>
      </c>
      <c r="W66" s="35">
        <f t="shared" si="19"/>
        <v>4200</v>
      </c>
      <c r="X66" s="35">
        <f t="shared" si="19"/>
        <v>4200</v>
      </c>
      <c r="Y66" s="35">
        <f t="shared" si="19"/>
        <v>4200</v>
      </c>
      <c r="Z66" s="35">
        <f t="shared" si="19"/>
        <v>4200</v>
      </c>
      <c r="AA66" s="35">
        <f t="shared" si="19"/>
        <v>4200</v>
      </c>
      <c r="AB66" s="35">
        <f t="shared" si="19"/>
        <v>4200</v>
      </c>
      <c r="AC66" s="35">
        <f t="shared" si="19"/>
        <v>4200</v>
      </c>
      <c r="AD66" s="35">
        <f t="shared" si="19"/>
        <v>4200</v>
      </c>
      <c r="AE66" s="35">
        <f t="shared" si="19"/>
        <v>4200</v>
      </c>
      <c r="AF66" s="35">
        <f t="shared" si="19"/>
        <v>4200</v>
      </c>
      <c r="AG66" s="35">
        <f>SUM(U58:AF66)</f>
        <v>4385500</v>
      </c>
    </row>
    <row r="67" spans="18:33" x14ac:dyDescent="0.4">
      <c r="R67" s="1" t="s">
        <v>29</v>
      </c>
      <c r="S67" s="1" t="s">
        <v>37</v>
      </c>
      <c r="T67" s="1" t="s">
        <v>52</v>
      </c>
    </row>
    <row r="68" spans="18:33" x14ac:dyDescent="0.4">
      <c r="R68" s="15" t="s">
        <v>38</v>
      </c>
      <c r="S68" s="15"/>
      <c r="T68" s="15"/>
      <c r="U68" s="17" t="s">
        <v>3</v>
      </c>
      <c r="V68" s="17" t="s">
        <v>4</v>
      </c>
      <c r="W68" s="17" t="s">
        <v>5</v>
      </c>
      <c r="X68" s="17" t="s">
        <v>6</v>
      </c>
      <c r="Y68" s="17" t="s">
        <v>7</v>
      </c>
      <c r="Z68" s="17" t="s">
        <v>8</v>
      </c>
      <c r="AA68" s="17" t="s">
        <v>9</v>
      </c>
      <c r="AB68" s="17" t="s">
        <v>10</v>
      </c>
      <c r="AC68" s="17" t="s">
        <v>11</v>
      </c>
      <c r="AD68" s="17" t="s">
        <v>12</v>
      </c>
      <c r="AE68" s="17" t="s">
        <v>13</v>
      </c>
      <c r="AF68" s="17" t="s">
        <v>14</v>
      </c>
      <c r="AG68" s="16" t="s">
        <v>15</v>
      </c>
    </row>
    <row r="69" spans="18:33" x14ac:dyDescent="0.4">
      <c r="R69" s="15"/>
      <c r="S69" s="18" t="s">
        <v>16</v>
      </c>
      <c r="T69" s="15">
        <v>3690</v>
      </c>
      <c r="U69" s="19">
        <f t="shared" ref="U69:AF69" si="20">U27*$T$27</f>
        <v>0</v>
      </c>
      <c r="V69" s="19">
        <f t="shared" si="20"/>
        <v>0</v>
      </c>
      <c r="W69" s="19">
        <f t="shared" si="20"/>
        <v>0</v>
      </c>
      <c r="X69" s="19">
        <f t="shared" si="20"/>
        <v>0</v>
      </c>
      <c r="Y69" s="19">
        <f t="shared" si="20"/>
        <v>0</v>
      </c>
      <c r="Z69" s="19">
        <f t="shared" si="20"/>
        <v>0</v>
      </c>
      <c r="AA69" s="19">
        <f t="shared" si="20"/>
        <v>0</v>
      </c>
      <c r="AB69" s="19">
        <f t="shared" si="20"/>
        <v>0</v>
      </c>
      <c r="AC69" s="19">
        <f t="shared" si="20"/>
        <v>0</v>
      </c>
      <c r="AD69" s="19">
        <f t="shared" si="20"/>
        <v>0</v>
      </c>
      <c r="AE69" s="19">
        <f t="shared" si="20"/>
        <v>0</v>
      </c>
      <c r="AF69" s="19">
        <f t="shared" si="20"/>
        <v>0</v>
      </c>
      <c r="AG69" s="15"/>
    </row>
    <row r="70" spans="18:33" x14ac:dyDescent="0.4">
      <c r="R70" s="15"/>
      <c r="S70" s="18" t="s">
        <v>17</v>
      </c>
      <c r="T70" s="15">
        <v>4130</v>
      </c>
      <c r="U70" s="19">
        <f t="shared" ref="U70:AF70" si="21">U28*$T$28</f>
        <v>0</v>
      </c>
      <c r="V70" s="19">
        <f t="shared" si="21"/>
        <v>0</v>
      </c>
      <c r="W70" s="19">
        <f t="shared" si="21"/>
        <v>0</v>
      </c>
      <c r="X70" s="19">
        <f t="shared" si="21"/>
        <v>0</v>
      </c>
      <c r="Y70" s="19">
        <f t="shared" si="21"/>
        <v>0</v>
      </c>
      <c r="Z70" s="19">
        <f t="shared" si="21"/>
        <v>0</v>
      </c>
      <c r="AA70" s="19">
        <f t="shared" si="21"/>
        <v>0</v>
      </c>
      <c r="AB70" s="19">
        <f t="shared" si="21"/>
        <v>0</v>
      </c>
      <c r="AC70" s="19">
        <f t="shared" si="21"/>
        <v>0</v>
      </c>
      <c r="AD70" s="19">
        <f t="shared" si="21"/>
        <v>0</v>
      </c>
      <c r="AE70" s="19">
        <f t="shared" si="21"/>
        <v>0</v>
      </c>
      <c r="AF70" s="19">
        <f t="shared" si="21"/>
        <v>0</v>
      </c>
      <c r="AG70" s="15"/>
    </row>
    <row r="71" spans="18:33" x14ac:dyDescent="0.4">
      <c r="R71" s="15"/>
      <c r="S71" s="18" t="s">
        <v>18</v>
      </c>
      <c r="T71" s="15">
        <v>6750</v>
      </c>
      <c r="U71" s="19">
        <f t="shared" ref="U71:AF71" si="22">U29*$T$29</f>
        <v>0</v>
      </c>
      <c r="V71" s="19">
        <f t="shared" si="22"/>
        <v>0</v>
      </c>
      <c r="W71" s="19">
        <f t="shared" si="22"/>
        <v>0</v>
      </c>
      <c r="X71" s="19">
        <f t="shared" si="22"/>
        <v>0</v>
      </c>
      <c r="Y71" s="19">
        <f t="shared" si="22"/>
        <v>0</v>
      </c>
      <c r="Z71" s="19">
        <f t="shared" si="22"/>
        <v>0</v>
      </c>
      <c r="AA71" s="19">
        <f t="shared" si="22"/>
        <v>0</v>
      </c>
      <c r="AB71" s="19">
        <f t="shared" si="22"/>
        <v>0</v>
      </c>
      <c r="AC71" s="19">
        <f t="shared" si="22"/>
        <v>0</v>
      </c>
      <c r="AD71" s="19">
        <f t="shared" si="22"/>
        <v>0</v>
      </c>
      <c r="AE71" s="19">
        <f t="shared" si="22"/>
        <v>0</v>
      </c>
      <c r="AF71" s="19">
        <f t="shared" si="22"/>
        <v>0</v>
      </c>
      <c r="AG71" s="15"/>
    </row>
    <row r="72" spans="18:33" x14ac:dyDescent="0.4">
      <c r="R72" s="15"/>
      <c r="S72" s="18" t="s">
        <v>19</v>
      </c>
      <c r="T72" s="15">
        <v>4200</v>
      </c>
      <c r="U72" s="19">
        <f t="shared" ref="U72:AF72" si="23">U30*$T$30</f>
        <v>0</v>
      </c>
      <c r="V72" s="19">
        <f t="shared" si="23"/>
        <v>0</v>
      </c>
      <c r="W72" s="19">
        <f t="shared" si="23"/>
        <v>0</v>
      </c>
      <c r="X72" s="19">
        <f t="shared" si="23"/>
        <v>0</v>
      </c>
      <c r="Y72" s="19">
        <f t="shared" si="23"/>
        <v>0</v>
      </c>
      <c r="Z72" s="19">
        <f t="shared" si="23"/>
        <v>0</v>
      </c>
      <c r="AA72" s="19">
        <f t="shared" si="23"/>
        <v>0</v>
      </c>
      <c r="AB72" s="19">
        <f t="shared" si="23"/>
        <v>0</v>
      </c>
      <c r="AC72" s="19">
        <f t="shared" si="23"/>
        <v>0</v>
      </c>
      <c r="AD72" s="19">
        <f t="shared" si="23"/>
        <v>0</v>
      </c>
      <c r="AE72" s="19">
        <f t="shared" si="23"/>
        <v>0</v>
      </c>
      <c r="AF72" s="19">
        <f t="shared" si="23"/>
        <v>0</v>
      </c>
      <c r="AG72" s="15"/>
    </row>
    <row r="73" spans="18:33" x14ac:dyDescent="0.4">
      <c r="R73" s="15"/>
      <c r="S73" s="18" t="s">
        <v>20</v>
      </c>
      <c r="T73" s="15">
        <v>4010</v>
      </c>
      <c r="U73" s="19">
        <f t="shared" ref="U73:AF73" si="24">U31*$T$31</f>
        <v>0</v>
      </c>
      <c r="V73" s="19">
        <f t="shared" si="24"/>
        <v>0</v>
      </c>
      <c r="W73" s="19">
        <f t="shared" si="24"/>
        <v>0</v>
      </c>
      <c r="X73" s="19">
        <f t="shared" si="24"/>
        <v>0</v>
      </c>
      <c r="Y73" s="19">
        <f t="shared" si="24"/>
        <v>0</v>
      </c>
      <c r="Z73" s="19">
        <f t="shared" si="24"/>
        <v>0</v>
      </c>
      <c r="AA73" s="19">
        <f t="shared" si="24"/>
        <v>0</v>
      </c>
      <c r="AB73" s="19">
        <f t="shared" si="24"/>
        <v>0</v>
      </c>
      <c r="AC73" s="19">
        <f t="shared" si="24"/>
        <v>0</v>
      </c>
      <c r="AD73" s="19">
        <f t="shared" si="24"/>
        <v>0</v>
      </c>
      <c r="AE73" s="19">
        <f t="shared" si="24"/>
        <v>0</v>
      </c>
      <c r="AF73" s="19">
        <f t="shared" si="24"/>
        <v>0</v>
      </c>
      <c r="AG73" s="15"/>
    </row>
    <row r="74" spans="18:33" x14ac:dyDescent="0.4">
      <c r="R74" s="15"/>
      <c r="S74" s="18" t="s">
        <v>21</v>
      </c>
      <c r="T74" s="15">
        <v>3800</v>
      </c>
      <c r="U74" s="19">
        <f t="shared" ref="U74:AF74" si="25">U32*$T$32</f>
        <v>0</v>
      </c>
      <c r="V74" s="19">
        <f t="shared" si="25"/>
        <v>0</v>
      </c>
      <c r="W74" s="19">
        <f t="shared" si="25"/>
        <v>0</v>
      </c>
      <c r="X74" s="19">
        <f t="shared" si="25"/>
        <v>0</v>
      </c>
      <c r="Y74" s="19">
        <f t="shared" si="25"/>
        <v>0</v>
      </c>
      <c r="Z74" s="19">
        <f t="shared" si="25"/>
        <v>0</v>
      </c>
      <c r="AA74" s="19">
        <f t="shared" si="25"/>
        <v>0</v>
      </c>
      <c r="AB74" s="19">
        <f t="shared" si="25"/>
        <v>0</v>
      </c>
      <c r="AC74" s="19">
        <f t="shared" si="25"/>
        <v>0</v>
      </c>
      <c r="AD74" s="19">
        <f t="shared" si="25"/>
        <v>0</v>
      </c>
      <c r="AE74" s="19">
        <f t="shared" si="25"/>
        <v>0</v>
      </c>
      <c r="AF74" s="19">
        <f t="shared" si="25"/>
        <v>0</v>
      </c>
      <c r="AG74" s="15"/>
    </row>
    <row r="75" spans="18:33" x14ac:dyDescent="0.4">
      <c r="R75" s="15"/>
      <c r="S75" s="18" t="s">
        <v>22</v>
      </c>
      <c r="T75" s="15">
        <v>3850</v>
      </c>
      <c r="U75" s="19">
        <f t="shared" ref="U75:AF75" si="26">U33*$T$33</f>
        <v>0</v>
      </c>
      <c r="V75" s="19">
        <f t="shared" si="26"/>
        <v>0</v>
      </c>
      <c r="W75" s="19">
        <f t="shared" si="26"/>
        <v>0</v>
      </c>
      <c r="X75" s="19">
        <f t="shared" si="26"/>
        <v>0</v>
      </c>
      <c r="Y75" s="19">
        <f t="shared" si="26"/>
        <v>0</v>
      </c>
      <c r="Z75" s="19">
        <f t="shared" si="26"/>
        <v>0</v>
      </c>
      <c r="AA75" s="19">
        <f t="shared" si="26"/>
        <v>0</v>
      </c>
      <c r="AB75" s="19">
        <f t="shared" si="26"/>
        <v>0</v>
      </c>
      <c r="AC75" s="19">
        <f t="shared" si="26"/>
        <v>0</v>
      </c>
      <c r="AD75" s="19">
        <f t="shared" si="26"/>
        <v>0</v>
      </c>
      <c r="AE75" s="19">
        <f t="shared" si="26"/>
        <v>0</v>
      </c>
      <c r="AF75" s="19">
        <f t="shared" si="26"/>
        <v>0</v>
      </c>
      <c r="AG75" s="15"/>
    </row>
    <row r="76" spans="18:33" x14ac:dyDescent="0.4">
      <c r="R76" s="15"/>
      <c r="S76" s="18" t="s">
        <v>23</v>
      </c>
      <c r="T76" s="15">
        <v>2630</v>
      </c>
      <c r="U76" s="19">
        <f t="shared" ref="U76:AF76" si="27">U34*$T$34</f>
        <v>0</v>
      </c>
      <c r="V76" s="19">
        <f t="shared" si="27"/>
        <v>0</v>
      </c>
      <c r="W76" s="19">
        <f t="shared" si="27"/>
        <v>0</v>
      </c>
      <c r="X76" s="19">
        <f t="shared" si="27"/>
        <v>0</v>
      </c>
      <c r="Y76" s="19">
        <f t="shared" si="27"/>
        <v>0</v>
      </c>
      <c r="Z76" s="19">
        <f t="shared" si="27"/>
        <v>0</v>
      </c>
      <c r="AA76" s="19">
        <f t="shared" si="27"/>
        <v>0</v>
      </c>
      <c r="AB76" s="19">
        <f t="shared" si="27"/>
        <v>0</v>
      </c>
      <c r="AC76" s="19">
        <f t="shared" si="27"/>
        <v>0</v>
      </c>
      <c r="AD76" s="19">
        <f t="shared" si="27"/>
        <v>0</v>
      </c>
      <c r="AE76" s="19">
        <f t="shared" si="27"/>
        <v>0</v>
      </c>
      <c r="AF76" s="19">
        <f t="shared" si="27"/>
        <v>0</v>
      </c>
      <c r="AG76" s="15"/>
    </row>
    <row r="77" spans="18:33" x14ac:dyDescent="0.4">
      <c r="R77" s="15"/>
      <c r="S77" s="18" t="s">
        <v>24</v>
      </c>
      <c r="T77" s="15">
        <v>4200</v>
      </c>
      <c r="U77" s="19">
        <f t="shared" ref="U77:AF77" si="28">U35*$T$35</f>
        <v>0</v>
      </c>
      <c r="V77" s="19">
        <f t="shared" si="28"/>
        <v>0</v>
      </c>
      <c r="W77" s="19">
        <f t="shared" si="28"/>
        <v>0</v>
      </c>
      <c r="X77" s="19">
        <f t="shared" si="28"/>
        <v>0</v>
      </c>
      <c r="Y77" s="19">
        <f t="shared" si="28"/>
        <v>0</v>
      </c>
      <c r="Z77" s="19">
        <f t="shared" si="28"/>
        <v>0</v>
      </c>
      <c r="AA77" s="19">
        <f t="shared" si="28"/>
        <v>0</v>
      </c>
      <c r="AB77" s="19">
        <f t="shared" si="28"/>
        <v>0</v>
      </c>
      <c r="AC77" s="19">
        <f t="shared" si="28"/>
        <v>0</v>
      </c>
      <c r="AD77" s="19">
        <f t="shared" si="28"/>
        <v>0</v>
      </c>
      <c r="AE77" s="19">
        <f t="shared" si="28"/>
        <v>0</v>
      </c>
      <c r="AF77" s="19">
        <f t="shared" si="28"/>
        <v>0</v>
      </c>
      <c r="AG77" s="19">
        <f>SUM(U69:AF77)</f>
        <v>0</v>
      </c>
    </row>
    <row r="78" spans="18:33" x14ac:dyDescent="0.4">
      <c r="R78" s="15" t="s">
        <v>29</v>
      </c>
      <c r="S78" s="15" t="s">
        <v>28</v>
      </c>
      <c r="T78" s="15">
        <v>3800</v>
      </c>
      <c r="U78" s="19">
        <f t="shared" ref="U78:AF78" si="29">U36*$T$36</f>
        <v>0</v>
      </c>
      <c r="V78" s="19">
        <f t="shared" si="29"/>
        <v>0</v>
      </c>
      <c r="W78" s="19">
        <f t="shared" si="29"/>
        <v>0</v>
      </c>
      <c r="X78" s="19">
        <f t="shared" si="29"/>
        <v>91200</v>
      </c>
      <c r="Y78" s="19">
        <f t="shared" si="29"/>
        <v>91200</v>
      </c>
      <c r="Z78" s="19">
        <f t="shared" si="29"/>
        <v>91200</v>
      </c>
      <c r="AA78" s="19">
        <f t="shared" si="29"/>
        <v>91200</v>
      </c>
      <c r="AB78" s="19">
        <f t="shared" si="29"/>
        <v>91200</v>
      </c>
      <c r="AC78" s="19">
        <f t="shared" si="29"/>
        <v>91200</v>
      </c>
      <c r="AD78" s="19">
        <f t="shared" si="29"/>
        <v>91200</v>
      </c>
      <c r="AE78" s="19">
        <f t="shared" si="29"/>
        <v>91200</v>
      </c>
      <c r="AF78" s="19">
        <f t="shared" si="29"/>
        <v>91200</v>
      </c>
      <c r="AG78" s="19">
        <f>AG36*AF36</f>
        <v>0</v>
      </c>
    </row>
    <row r="79" spans="18:33" x14ac:dyDescent="0.4">
      <c r="R79" s="15"/>
      <c r="S79" s="15" t="s">
        <v>30</v>
      </c>
      <c r="T79" s="15">
        <v>3200</v>
      </c>
      <c r="U79" s="19">
        <f t="shared" ref="U79:AF79" si="30">U37*$T$37</f>
        <v>0</v>
      </c>
      <c r="V79" s="19">
        <f t="shared" si="30"/>
        <v>0</v>
      </c>
      <c r="W79" s="19">
        <f t="shared" si="30"/>
        <v>0</v>
      </c>
      <c r="X79" s="19">
        <f t="shared" si="30"/>
        <v>19200</v>
      </c>
      <c r="Y79" s="19">
        <f t="shared" si="30"/>
        <v>19200</v>
      </c>
      <c r="Z79" s="19">
        <f t="shared" si="30"/>
        <v>19200</v>
      </c>
      <c r="AA79" s="19">
        <f t="shared" si="30"/>
        <v>19200</v>
      </c>
      <c r="AB79" s="19">
        <f t="shared" si="30"/>
        <v>19200</v>
      </c>
      <c r="AC79" s="19">
        <f t="shared" si="30"/>
        <v>19200</v>
      </c>
      <c r="AD79" s="19">
        <f t="shared" si="30"/>
        <v>19200</v>
      </c>
      <c r="AE79" s="19">
        <f t="shared" si="30"/>
        <v>19200</v>
      </c>
      <c r="AF79" s="19">
        <f t="shared" si="30"/>
        <v>19200</v>
      </c>
      <c r="AG79" s="19">
        <f>AG37*AF37</f>
        <v>0</v>
      </c>
    </row>
    <row r="80" spans="18:33" x14ac:dyDescent="0.4">
      <c r="R80" s="15"/>
      <c r="S80" s="15" t="s">
        <v>31</v>
      </c>
      <c r="T80" s="15">
        <v>10000</v>
      </c>
      <c r="U80" s="19">
        <f t="shared" ref="U80:AF82" si="31">U38*$T$38</f>
        <v>200000</v>
      </c>
      <c r="V80" s="19">
        <f t="shared" si="31"/>
        <v>200000</v>
      </c>
      <c r="W80" s="19">
        <f t="shared" si="31"/>
        <v>200000</v>
      </c>
      <c r="X80" s="19">
        <f t="shared" si="31"/>
        <v>200000</v>
      </c>
      <c r="Y80" s="19">
        <f t="shared" si="31"/>
        <v>200000</v>
      </c>
      <c r="Z80" s="19">
        <f t="shared" si="31"/>
        <v>200000</v>
      </c>
      <c r="AA80" s="19">
        <f t="shared" si="31"/>
        <v>200000</v>
      </c>
      <c r="AB80" s="19">
        <f t="shared" si="31"/>
        <v>200000</v>
      </c>
      <c r="AC80" s="19">
        <f t="shared" si="31"/>
        <v>200000</v>
      </c>
      <c r="AD80" s="19">
        <f t="shared" si="31"/>
        <v>200000</v>
      </c>
      <c r="AE80" s="19">
        <f t="shared" si="31"/>
        <v>200000</v>
      </c>
      <c r="AF80" s="19">
        <f t="shared" si="31"/>
        <v>200000</v>
      </c>
      <c r="AG80" s="19">
        <f>AG38*AF38</f>
        <v>0</v>
      </c>
    </row>
    <row r="81" spans="18:33" x14ac:dyDescent="0.4">
      <c r="R81" s="15" t="s">
        <v>32</v>
      </c>
      <c r="S81" s="15" t="s">
        <v>28</v>
      </c>
      <c r="T81" s="15">
        <v>3800</v>
      </c>
      <c r="U81" s="19">
        <f t="shared" si="31"/>
        <v>0</v>
      </c>
      <c r="V81" s="19">
        <f t="shared" si="31"/>
        <v>700000</v>
      </c>
      <c r="W81" s="19">
        <f t="shared" si="31"/>
        <v>700000</v>
      </c>
      <c r="X81" s="19">
        <f t="shared" si="31"/>
        <v>700000</v>
      </c>
      <c r="Y81" s="19">
        <f t="shared" si="31"/>
        <v>700000</v>
      </c>
      <c r="Z81" s="19">
        <f t="shared" si="31"/>
        <v>800000</v>
      </c>
      <c r="AA81" s="19">
        <f t="shared" si="31"/>
        <v>800000</v>
      </c>
      <c r="AB81" s="19">
        <f t="shared" si="31"/>
        <v>800000</v>
      </c>
      <c r="AC81" s="19">
        <f t="shared" si="31"/>
        <v>800000</v>
      </c>
      <c r="AD81" s="19">
        <f t="shared" si="31"/>
        <v>800000</v>
      </c>
      <c r="AE81" s="19">
        <f t="shared" si="31"/>
        <v>800000</v>
      </c>
      <c r="AF81" s="19">
        <f t="shared" si="31"/>
        <v>800000</v>
      </c>
      <c r="AG81" s="19"/>
    </row>
    <row r="82" spans="18:33" x14ac:dyDescent="0.4">
      <c r="R82" s="15"/>
      <c r="S82" s="15" t="s">
        <v>30</v>
      </c>
      <c r="T82" s="15">
        <v>3200</v>
      </c>
      <c r="U82" s="19">
        <f t="shared" si="31"/>
        <v>0</v>
      </c>
      <c r="V82" s="19">
        <f t="shared" si="31"/>
        <v>100000</v>
      </c>
      <c r="W82" s="19">
        <f t="shared" si="31"/>
        <v>100000</v>
      </c>
      <c r="X82" s="19">
        <f t="shared" si="31"/>
        <v>100000</v>
      </c>
      <c r="Y82" s="19">
        <f t="shared" si="31"/>
        <v>100000</v>
      </c>
      <c r="Z82" s="19">
        <f t="shared" si="31"/>
        <v>200000</v>
      </c>
      <c r="AA82" s="19">
        <f t="shared" si="31"/>
        <v>200000</v>
      </c>
      <c r="AB82" s="19">
        <f t="shared" si="31"/>
        <v>200000</v>
      </c>
      <c r="AC82" s="19">
        <f t="shared" si="31"/>
        <v>200000</v>
      </c>
      <c r="AD82" s="19">
        <f t="shared" si="31"/>
        <v>200000</v>
      </c>
      <c r="AE82" s="19">
        <f t="shared" si="31"/>
        <v>200000</v>
      </c>
      <c r="AF82" s="19">
        <f t="shared" si="31"/>
        <v>200000</v>
      </c>
      <c r="AG82" s="19"/>
    </row>
    <row r="83" spans="18:33" x14ac:dyDescent="0.4">
      <c r="S83" s="15"/>
      <c r="T83" s="15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</row>
    <row r="84" spans="18:33" x14ac:dyDescent="0.4">
      <c r="S84" s="15"/>
      <c r="T84" s="15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</row>
    <row r="85" spans="18:33" x14ac:dyDescent="0.4">
      <c r="R85" s="1" t="s">
        <v>40</v>
      </c>
      <c r="S85" s="1" t="s">
        <v>37</v>
      </c>
      <c r="T85" s="1" t="s">
        <v>52</v>
      </c>
    </row>
    <row r="86" spans="18:33" x14ac:dyDescent="0.4">
      <c r="R86" s="36" t="s">
        <v>38</v>
      </c>
      <c r="S86" s="36"/>
      <c r="T86" s="36"/>
      <c r="U86" s="37" t="s">
        <v>3</v>
      </c>
      <c r="V86" s="37" t="s">
        <v>4</v>
      </c>
      <c r="W86" s="37" t="s">
        <v>5</v>
      </c>
      <c r="X86" s="37" t="s">
        <v>6</v>
      </c>
      <c r="Y86" s="37" t="s">
        <v>7</v>
      </c>
      <c r="Z86" s="37" t="s">
        <v>8</v>
      </c>
      <c r="AA86" s="37" t="s">
        <v>9</v>
      </c>
      <c r="AB86" s="37" t="s">
        <v>10</v>
      </c>
      <c r="AC86" s="37" t="s">
        <v>11</v>
      </c>
      <c r="AD86" s="37" t="s">
        <v>12</v>
      </c>
      <c r="AE86" s="37" t="s">
        <v>13</v>
      </c>
      <c r="AF86" s="37" t="s">
        <v>14</v>
      </c>
      <c r="AG86" s="38" t="s">
        <v>15</v>
      </c>
    </row>
    <row r="87" spans="18:33" x14ac:dyDescent="0.4">
      <c r="R87" s="36"/>
      <c r="S87" s="39" t="s">
        <v>16</v>
      </c>
      <c r="T87" s="36">
        <v>3690</v>
      </c>
      <c r="U87" s="40">
        <f t="shared" ref="U87:AF95" si="32">U47-U58+U69</f>
        <v>3690</v>
      </c>
      <c r="V87" s="40">
        <f t="shared" si="32"/>
        <v>3690</v>
      </c>
      <c r="W87" s="40">
        <f t="shared" si="32"/>
        <v>3690</v>
      </c>
      <c r="X87" s="40">
        <f t="shared" si="32"/>
        <v>3690</v>
      </c>
      <c r="Y87" s="40">
        <f t="shared" si="32"/>
        <v>3690</v>
      </c>
      <c r="Z87" s="40">
        <f t="shared" si="32"/>
        <v>3690</v>
      </c>
      <c r="AA87" s="40">
        <f t="shared" si="32"/>
        <v>3690</v>
      </c>
      <c r="AB87" s="40">
        <f t="shared" si="32"/>
        <v>3690</v>
      </c>
      <c r="AC87" s="40">
        <f t="shared" si="32"/>
        <v>3690</v>
      </c>
      <c r="AD87" s="40">
        <f t="shared" si="32"/>
        <v>3690</v>
      </c>
      <c r="AE87" s="40">
        <f t="shared" si="32"/>
        <v>3690</v>
      </c>
      <c r="AF87" s="40">
        <f t="shared" si="32"/>
        <v>3690</v>
      </c>
      <c r="AG87" s="36"/>
    </row>
    <row r="88" spans="18:33" x14ac:dyDescent="0.4">
      <c r="R88" s="36"/>
      <c r="S88" s="39" t="s">
        <v>17</v>
      </c>
      <c r="T88" s="36">
        <v>4130</v>
      </c>
      <c r="U88" s="40">
        <f t="shared" si="32"/>
        <v>330400</v>
      </c>
      <c r="V88" s="40">
        <f t="shared" si="32"/>
        <v>330400</v>
      </c>
      <c r="W88" s="40">
        <f t="shared" si="32"/>
        <v>330400</v>
      </c>
      <c r="X88" s="40">
        <f t="shared" si="32"/>
        <v>330400</v>
      </c>
      <c r="Y88" s="40">
        <f t="shared" si="32"/>
        <v>330400</v>
      </c>
      <c r="Z88" s="40">
        <f t="shared" si="32"/>
        <v>330400</v>
      </c>
      <c r="AA88" s="40">
        <f t="shared" si="32"/>
        <v>330400</v>
      </c>
      <c r="AB88" s="40">
        <f t="shared" si="32"/>
        <v>330400</v>
      </c>
      <c r="AC88" s="40">
        <f t="shared" si="32"/>
        <v>330400</v>
      </c>
      <c r="AD88" s="40">
        <f t="shared" si="32"/>
        <v>330400</v>
      </c>
      <c r="AE88" s="40">
        <f t="shared" si="32"/>
        <v>330400</v>
      </c>
      <c r="AF88" s="40">
        <f t="shared" si="32"/>
        <v>330400</v>
      </c>
      <c r="AG88" s="36"/>
    </row>
    <row r="89" spans="18:33" x14ac:dyDescent="0.4">
      <c r="R89" s="36"/>
      <c r="S89" s="39" t="s">
        <v>18</v>
      </c>
      <c r="T89" s="36">
        <v>6750</v>
      </c>
      <c r="U89" s="40">
        <f t="shared" si="32"/>
        <v>13500</v>
      </c>
      <c r="V89" s="40">
        <f t="shared" si="32"/>
        <v>13500</v>
      </c>
      <c r="W89" s="40">
        <f t="shared" si="32"/>
        <v>13500</v>
      </c>
      <c r="X89" s="40">
        <f t="shared" si="32"/>
        <v>13500</v>
      </c>
      <c r="Y89" s="40">
        <f t="shared" si="32"/>
        <v>13500</v>
      </c>
      <c r="Z89" s="40">
        <f t="shared" si="32"/>
        <v>13500</v>
      </c>
      <c r="AA89" s="40">
        <f t="shared" si="32"/>
        <v>13500</v>
      </c>
      <c r="AB89" s="40">
        <f t="shared" si="32"/>
        <v>13500</v>
      </c>
      <c r="AC89" s="40">
        <f t="shared" si="32"/>
        <v>13500</v>
      </c>
      <c r="AD89" s="40">
        <f t="shared" si="32"/>
        <v>13500</v>
      </c>
      <c r="AE89" s="40">
        <f t="shared" si="32"/>
        <v>13500</v>
      </c>
      <c r="AF89" s="40">
        <f t="shared" si="32"/>
        <v>13500</v>
      </c>
      <c r="AG89" s="36"/>
    </row>
    <row r="90" spans="18:33" x14ac:dyDescent="0.4">
      <c r="R90" s="36"/>
      <c r="S90" s="39" t="s">
        <v>19</v>
      </c>
      <c r="T90" s="36">
        <v>4200</v>
      </c>
      <c r="U90" s="40">
        <f t="shared" si="32"/>
        <v>75600</v>
      </c>
      <c r="V90" s="40">
        <f t="shared" si="32"/>
        <v>0</v>
      </c>
      <c r="W90" s="40">
        <f t="shared" si="32"/>
        <v>0</v>
      </c>
      <c r="X90" s="40">
        <f t="shared" si="32"/>
        <v>0</v>
      </c>
      <c r="Y90" s="40">
        <f t="shared" si="32"/>
        <v>0</v>
      </c>
      <c r="Z90" s="40">
        <f t="shared" si="32"/>
        <v>0</v>
      </c>
      <c r="AA90" s="40">
        <f t="shared" si="32"/>
        <v>0</v>
      </c>
      <c r="AB90" s="40">
        <f t="shared" si="32"/>
        <v>0</v>
      </c>
      <c r="AC90" s="40">
        <f t="shared" si="32"/>
        <v>0</v>
      </c>
      <c r="AD90" s="40">
        <f t="shared" si="32"/>
        <v>0</v>
      </c>
      <c r="AE90" s="40">
        <f t="shared" si="32"/>
        <v>0</v>
      </c>
      <c r="AF90" s="40">
        <f t="shared" si="32"/>
        <v>0</v>
      </c>
      <c r="AG90" s="36"/>
    </row>
    <row r="91" spans="18:33" x14ac:dyDescent="0.4">
      <c r="R91" s="36"/>
      <c r="S91" s="39" t="s">
        <v>20</v>
      </c>
      <c r="T91" s="36">
        <v>4010</v>
      </c>
      <c r="U91" s="40">
        <f t="shared" si="32"/>
        <v>280700</v>
      </c>
      <c r="V91" s="40">
        <f t="shared" si="32"/>
        <v>280700</v>
      </c>
      <c r="W91" s="40">
        <f t="shared" si="32"/>
        <v>280700</v>
      </c>
      <c r="X91" s="40">
        <f t="shared" si="32"/>
        <v>280700</v>
      </c>
      <c r="Y91" s="40">
        <f t="shared" si="32"/>
        <v>280700</v>
      </c>
      <c r="Z91" s="40">
        <f t="shared" si="32"/>
        <v>280700</v>
      </c>
      <c r="AA91" s="40">
        <f t="shared" si="32"/>
        <v>280700</v>
      </c>
      <c r="AB91" s="40">
        <f t="shared" si="32"/>
        <v>280700</v>
      </c>
      <c r="AC91" s="40">
        <f t="shared" si="32"/>
        <v>280700</v>
      </c>
      <c r="AD91" s="40">
        <f t="shared" si="32"/>
        <v>280700</v>
      </c>
      <c r="AE91" s="40">
        <f t="shared" si="32"/>
        <v>280700</v>
      </c>
      <c r="AF91" s="40">
        <f t="shared" si="32"/>
        <v>280700</v>
      </c>
      <c r="AG91" s="36"/>
    </row>
    <row r="92" spans="18:33" x14ac:dyDescent="0.4">
      <c r="R92" s="36"/>
      <c r="S92" s="39" t="s">
        <v>21</v>
      </c>
      <c r="T92" s="36">
        <v>3800</v>
      </c>
      <c r="U92" s="40">
        <f t="shared" si="32"/>
        <v>513000</v>
      </c>
      <c r="V92" s="40">
        <f t="shared" si="32"/>
        <v>513000</v>
      </c>
      <c r="W92" s="40">
        <f t="shared" si="32"/>
        <v>513000</v>
      </c>
      <c r="X92" s="40">
        <f t="shared" si="32"/>
        <v>513000</v>
      </c>
      <c r="Y92" s="40">
        <f t="shared" si="32"/>
        <v>513000</v>
      </c>
      <c r="Z92" s="40">
        <f t="shared" si="32"/>
        <v>513000</v>
      </c>
      <c r="AA92" s="40">
        <f t="shared" si="32"/>
        <v>513000</v>
      </c>
      <c r="AB92" s="40">
        <f t="shared" si="32"/>
        <v>513000</v>
      </c>
      <c r="AC92" s="40">
        <f t="shared" si="32"/>
        <v>513000</v>
      </c>
      <c r="AD92" s="40">
        <f t="shared" si="32"/>
        <v>513000</v>
      </c>
      <c r="AE92" s="40">
        <f t="shared" si="32"/>
        <v>513000</v>
      </c>
      <c r="AF92" s="40">
        <f t="shared" si="32"/>
        <v>513000</v>
      </c>
      <c r="AG92" s="36"/>
    </row>
    <row r="93" spans="18:33" x14ac:dyDescent="0.4">
      <c r="R93" s="36"/>
      <c r="S93" s="39" t="s">
        <v>22</v>
      </c>
      <c r="T93" s="36">
        <v>3850</v>
      </c>
      <c r="U93" s="40">
        <f t="shared" si="32"/>
        <v>731500</v>
      </c>
      <c r="V93" s="40">
        <f t="shared" si="32"/>
        <v>731500</v>
      </c>
      <c r="W93" s="40">
        <f t="shared" si="32"/>
        <v>731500</v>
      </c>
      <c r="X93" s="40">
        <f t="shared" si="32"/>
        <v>731500</v>
      </c>
      <c r="Y93" s="40">
        <f t="shared" si="32"/>
        <v>404250</v>
      </c>
      <c r="Z93" s="40">
        <f t="shared" si="32"/>
        <v>327250</v>
      </c>
      <c r="AA93" s="40">
        <f t="shared" si="32"/>
        <v>327250</v>
      </c>
      <c r="AB93" s="40">
        <f t="shared" si="32"/>
        <v>327250</v>
      </c>
      <c r="AC93" s="40">
        <f t="shared" si="32"/>
        <v>327250</v>
      </c>
      <c r="AD93" s="40">
        <f t="shared" si="32"/>
        <v>211750</v>
      </c>
      <c r="AE93" s="40">
        <f t="shared" si="32"/>
        <v>211750</v>
      </c>
      <c r="AF93" s="40">
        <f t="shared" si="32"/>
        <v>211750</v>
      </c>
      <c r="AG93" s="36"/>
    </row>
    <row r="94" spans="18:33" x14ac:dyDescent="0.4">
      <c r="R94" s="36"/>
      <c r="S94" s="39" t="s">
        <v>23</v>
      </c>
      <c r="T94" s="36">
        <v>2630</v>
      </c>
      <c r="U94" s="40">
        <f t="shared" si="32"/>
        <v>263000</v>
      </c>
      <c r="V94" s="40">
        <f t="shared" si="32"/>
        <v>263000</v>
      </c>
      <c r="W94" s="40">
        <f t="shared" si="32"/>
        <v>263000</v>
      </c>
      <c r="X94" s="40">
        <f t="shared" si="32"/>
        <v>263000</v>
      </c>
      <c r="Y94" s="40">
        <f t="shared" si="32"/>
        <v>263000</v>
      </c>
      <c r="Z94" s="40">
        <f t="shared" si="32"/>
        <v>263000</v>
      </c>
      <c r="AA94" s="40">
        <f t="shared" si="32"/>
        <v>263000</v>
      </c>
      <c r="AB94" s="40">
        <f t="shared" si="32"/>
        <v>263000</v>
      </c>
      <c r="AC94" s="40">
        <f t="shared" si="32"/>
        <v>263000</v>
      </c>
      <c r="AD94" s="40">
        <f t="shared" si="32"/>
        <v>263000</v>
      </c>
      <c r="AE94" s="40">
        <f t="shared" si="32"/>
        <v>263000</v>
      </c>
      <c r="AF94" s="40">
        <f t="shared" si="32"/>
        <v>263000</v>
      </c>
      <c r="AG94" s="36"/>
    </row>
    <row r="95" spans="18:33" x14ac:dyDescent="0.4">
      <c r="R95" s="36"/>
      <c r="S95" s="39" t="s">
        <v>24</v>
      </c>
      <c r="T95" s="36">
        <v>4200</v>
      </c>
      <c r="U95" s="40">
        <f t="shared" si="32"/>
        <v>0</v>
      </c>
      <c r="V95" s="40">
        <f t="shared" si="32"/>
        <v>0</v>
      </c>
      <c r="W95" s="40">
        <f t="shared" si="32"/>
        <v>0</v>
      </c>
      <c r="X95" s="40">
        <f t="shared" si="32"/>
        <v>0</v>
      </c>
      <c r="Y95" s="40">
        <f t="shared" si="32"/>
        <v>0</v>
      </c>
      <c r="Z95" s="40">
        <f t="shared" si="32"/>
        <v>0</v>
      </c>
      <c r="AA95" s="40">
        <f t="shared" si="32"/>
        <v>0</v>
      </c>
      <c r="AB95" s="40">
        <f t="shared" si="32"/>
        <v>0</v>
      </c>
      <c r="AC95" s="40">
        <f t="shared" si="32"/>
        <v>0</v>
      </c>
      <c r="AD95" s="40">
        <f t="shared" si="32"/>
        <v>0</v>
      </c>
      <c r="AE95" s="40">
        <f t="shared" si="32"/>
        <v>0</v>
      </c>
      <c r="AF95" s="40">
        <f t="shared" si="32"/>
        <v>0</v>
      </c>
      <c r="AG95" s="40">
        <f>SUM(U87:AF95)</f>
        <v>22201580</v>
      </c>
    </row>
    <row r="96" spans="18:33" x14ac:dyDescent="0.4">
      <c r="R96" s="15" t="s">
        <v>29</v>
      </c>
      <c r="S96" s="15" t="s">
        <v>28</v>
      </c>
      <c r="T96" s="15">
        <v>3800</v>
      </c>
      <c r="U96" s="19">
        <f>U78</f>
        <v>0</v>
      </c>
      <c r="V96" s="19">
        <f t="shared" ref="V96:AF96" si="33">V78</f>
        <v>0</v>
      </c>
      <c r="W96" s="19">
        <f t="shared" si="33"/>
        <v>0</v>
      </c>
      <c r="X96" s="19">
        <f t="shared" si="33"/>
        <v>91200</v>
      </c>
      <c r="Y96" s="19">
        <f t="shared" si="33"/>
        <v>91200</v>
      </c>
      <c r="Z96" s="19">
        <f t="shared" si="33"/>
        <v>91200</v>
      </c>
      <c r="AA96" s="19">
        <f t="shared" si="33"/>
        <v>91200</v>
      </c>
      <c r="AB96" s="19">
        <f t="shared" si="33"/>
        <v>91200</v>
      </c>
      <c r="AC96" s="19">
        <f t="shared" si="33"/>
        <v>91200</v>
      </c>
      <c r="AD96" s="19">
        <f t="shared" si="33"/>
        <v>91200</v>
      </c>
      <c r="AE96" s="19">
        <f t="shared" si="33"/>
        <v>91200</v>
      </c>
      <c r="AF96" s="19">
        <f t="shared" si="33"/>
        <v>91200</v>
      </c>
      <c r="AG96" s="19">
        <f>AG54*AF54</f>
        <v>0</v>
      </c>
    </row>
    <row r="97" spans="18:33" x14ac:dyDescent="0.4">
      <c r="R97" s="15"/>
      <c r="S97" s="15" t="s">
        <v>30</v>
      </c>
      <c r="T97" s="15">
        <v>3200</v>
      </c>
      <c r="U97" s="19">
        <f t="shared" ref="U97:AF100" si="34">U79</f>
        <v>0</v>
      </c>
      <c r="V97" s="19">
        <f t="shared" si="34"/>
        <v>0</v>
      </c>
      <c r="W97" s="19">
        <f t="shared" si="34"/>
        <v>0</v>
      </c>
      <c r="X97" s="19">
        <f t="shared" si="34"/>
        <v>19200</v>
      </c>
      <c r="Y97" s="19">
        <f t="shared" si="34"/>
        <v>19200</v>
      </c>
      <c r="Z97" s="19">
        <f t="shared" si="34"/>
        <v>19200</v>
      </c>
      <c r="AA97" s="19">
        <f t="shared" si="34"/>
        <v>19200</v>
      </c>
      <c r="AB97" s="19">
        <f t="shared" si="34"/>
        <v>19200</v>
      </c>
      <c r="AC97" s="19">
        <f t="shared" si="34"/>
        <v>19200</v>
      </c>
      <c r="AD97" s="19">
        <f t="shared" si="34"/>
        <v>19200</v>
      </c>
      <c r="AE97" s="19">
        <f t="shared" si="34"/>
        <v>19200</v>
      </c>
      <c r="AF97" s="19">
        <f t="shared" si="34"/>
        <v>19200</v>
      </c>
      <c r="AG97" s="19"/>
    </row>
    <row r="98" spans="18:33" x14ac:dyDescent="0.4">
      <c r="R98" s="15"/>
      <c r="S98" s="15" t="s">
        <v>31</v>
      </c>
      <c r="T98" s="15">
        <v>10000</v>
      </c>
      <c r="U98" s="19">
        <f t="shared" si="34"/>
        <v>200000</v>
      </c>
      <c r="V98" s="19">
        <f t="shared" si="34"/>
        <v>200000</v>
      </c>
      <c r="W98" s="19">
        <f t="shared" si="34"/>
        <v>200000</v>
      </c>
      <c r="X98" s="19">
        <f t="shared" si="34"/>
        <v>200000</v>
      </c>
      <c r="Y98" s="19">
        <f t="shared" si="34"/>
        <v>200000</v>
      </c>
      <c r="Z98" s="19">
        <f t="shared" si="34"/>
        <v>200000</v>
      </c>
      <c r="AA98" s="19">
        <f t="shared" si="34"/>
        <v>200000</v>
      </c>
      <c r="AB98" s="19">
        <f t="shared" si="34"/>
        <v>200000</v>
      </c>
      <c r="AC98" s="19">
        <f t="shared" si="34"/>
        <v>200000</v>
      </c>
      <c r="AD98" s="19">
        <f t="shared" si="34"/>
        <v>200000</v>
      </c>
      <c r="AE98" s="19">
        <f t="shared" si="34"/>
        <v>200000</v>
      </c>
      <c r="AF98" s="19">
        <f t="shared" si="34"/>
        <v>200000</v>
      </c>
      <c r="AG98" s="19">
        <f>AG56*AF56</f>
        <v>0</v>
      </c>
    </row>
    <row r="99" spans="18:33" x14ac:dyDescent="0.4">
      <c r="R99" s="15" t="s">
        <v>32</v>
      </c>
      <c r="S99" s="15" t="s">
        <v>28</v>
      </c>
      <c r="T99" s="15">
        <v>3800</v>
      </c>
      <c r="U99" s="19">
        <f t="shared" si="34"/>
        <v>0</v>
      </c>
      <c r="V99" s="19">
        <f t="shared" si="34"/>
        <v>700000</v>
      </c>
      <c r="W99" s="19">
        <f t="shared" si="34"/>
        <v>700000</v>
      </c>
      <c r="X99" s="19">
        <f t="shared" si="34"/>
        <v>700000</v>
      </c>
      <c r="Y99" s="19">
        <f t="shared" si="34"/>
        <v>700000</v>
      </c>
      <c r="Z99" s="19">
        <f t="shared" si="34"/>
        <v>800000</v>
      </c>
      <c r="AA99" s="19">
        <f t="shared" si="34"/>
        <v>800000</v>
      </c>
      <c r="AB99" s="19">
        <f t="shared" si="34"/>
        <v>800000</v>
      </c>
      <c r="AC99" s="19">
        <f t="shared" si="34"/>
        <v>800000</v>
      </c>
      <c r="AD99" s="19">
        <f t="shared" si="34"/>
        <v>800000</v>
      </c>
      <c r="AE99" s="19">
        <f t="shared" si="34"/>
        <v>800000</v>
      </c>
      <c r="AF99" s="19">
        <f t="shared" si="34"/>
        <v>800000</v>
      </c>
      <c r="AG99" s="19"/>
    </row>
    <row r="100" spans="18:33" x14ac:dyDescent="0.4">
      <c r="R100" s="15"/>
      <c r="S100" s="15" t="s">
        <v>30</v>
      </c>
      <c r="T100" s="15">
        <v>3200</v>
      </c>
      <c r="U100" s="19">
        <f t="shared" si="34"/>
        <v>0</v>
      </c>
      <c r="V100" s="19">
        <f t="shared" si="34"/>
        <v>100000</v>
      </c>
      <c r="W100" s="19">
        <f t="shared" si="34"/>
        <v>100000</v>
      </c>
      <c r="X100" s="19">
        <f t="shared" si="34"/>
        <v>100000</v>
      </c>
      <c r="Y100" s="19">
        <f t="shared" si="34"/>
        <v>100000</v>
      </c>
      <c r="Z100" s="19">
        <f t="shared" si="34"/>
        <v>200000</v>
      </c>
      <c r="AA100" s="19">
        <f t="shared" si="34"/>
        <v>200000</v>
      </c>
      <c r="AB100" s="19">
        <f t="shared" si="34"/>
        <v>200000</v>
      </c>
      <c r="AC100" s="19">
        <f t="shared" si="34"/>
        <v>200000</v>
      </c>
      <c r="AD100" s="19">
        <f t="shared" si="34"/>
        <v>200000</v>
      </c>
      <c r="AE100" s="19">
        <f t="shared" si="34"/>
        <v>200000</v>
      </c>
      <c r="AF100" s="19">
        <f t="shared" si="34"/>
        <v>200000</v>
      </c>
      <c r="AG100" s="19">
        <f>SUM(U87:AF100)</f>
        <v>35795180</v>
      </c>
    </row>
    <row r="102" spans="18:33" ht="18" customHeight="1" x14ac:dyDescent="0.4">
      <c r="R102" t="s">
        <v>41</v>
      </c>
      <c r="S102" t="s">
        <v>17</v>
      </c>
      <c r="U102" s="3">
        <v>330400</v>
      </c>
      <c r="V102" s="3">
        <v>330400</v>
      </c>
      <c r="W102" s="3">
        <v>330400</v>
      </c>
      <c r="X102" s="3">
        <v>330400</v>
      </c>
      <c r="Y102" s="3">
        <v>330400</v>
      </c>
      <c r="Z102" s="3">
        <v>330400</v>
      </c>
      <c r="AA102" s="3">
        <v>330400</v>
      </c>
      <c r="AB102" s="3">
        <v>330400</v>
      </c>
      <c r="AC102" s="3">
        <v>330400</v>
      </c>
      <c r="AD102" s="3">
        <v>330400</v>
      </c>
      <c r="AE102" s="3">
        <v>330400</v>
      </c>
      <c r="AF102" s="3">
        <v>330400</v>
      </c>
      <c r="AG102" s="3">
        <f>SUM(T102:AF102)</f>
        <v>3964800</v>
      </c>
    </row>
    <row r="103" spans="18:33" ht="18" customHeight="1" x14ac:dyDescent="0.4">
      <c r="R103" t="s">
        <v>42</v>
      </c>
      <c r="S103" t="s">
        <v>43</v>
      </c>
      <c r="U103" s="3">
        <v>731500</v>
      </c>
      <c r="V103" s="3">
        <v>731500</v>
      </c>
      <c r="W103" s="3">
        <v>731500</v>
      </c>
      <c r="X103" s="3">
        <v>731500</v>
      </c>
      <c r="Y103" s="3">
        <v>404250</v>
      </c>
      <c r="Z103" s="3">
        <v>327250</v>
      </c>
      <c r="AA103" s="3">
        <v>327250</v>
      </c>
      <c r="AB103" s="3">
        <v>327250</v>
      </c>
      <c r="AC103" s="3">
        <v>327250</v>
      </c>
      <c r="AD103" s="3">
        <v>211750</v>
      </c>
      <c r="AE103" s="3">
        <v>211750</v>
      </c>
      <c r="AF103" s="3">
        <v>211750</v>
      </c>
      <c r="AG103" s="3"/>
    </row>
    <row r="104" spans="18:33" ht="18" customHeight="1" x14ac:dyDescent="0.4">
      <c r="R104"/>
      <c r="S104" t="s">
        <v>44</v>
      </c>
      <c r="U104" s="3">
        <v>280700</v>
      </c>
      <c r="V104" s="3">
        <v>280700</v>
      </c>
      <c r="W104" s="3">
        <v>280700</v>
      </c>
      <c r="X104" s="3">
        <v>280700</v>
      </c>
      <c r="Y104" s="3">
        <v>280700</v>
      </c>
      <c r="Z104" s="3">
        <v>280700</v>
      </c>
      <c r="AA104" s="3">
        <v>280700</v>
      </c>
      <c r="AB104" s="3">
        <v>280700</v>
      </c>
      <c r="AC104" s="3">
        <v>280700</v>
      </c>
      <c r="AD104" s="3">
        <v>280700</v>
      </c>
      <c r="AE104" s="3">
        <v>280700</v>
      </c>
      <c r="AF104" s="3">
        <v>280700</v>
      </c>
      <c r="AG104" s="3"/>
    </row>
    <row r="105" spans="18:33" ht="18" customHeight="1" x14ac:dyDescent="0.4">
      <c r="R105"/>
      <c r="S105" t="s">
        <v>21</v>
      </c>
      <c r="U105" s="3">
        <v>513000</v>
      </c>
      <c r="V105" s="3">
        <v>513000</v>
      </c>
      <c r="W105" s="3">
        <v>513000</v>
      </c>
      <c r="X105" s="3">
        <v>513000</v>
      </c>
      <c r="Y105" s="3">
        <v>513000</v>
      </c>
      <c r="Z105" s="3">
        <v>513000</v>
      </c>
      <c r="AA105" s="3">
        <v>513000</v>
      </c>
      <c r="AB105" s="3">
        <v>513000</v>
      </c>
      <c r="AC105" s="3">
        <v>513000</v>
      </c>
      <c r="AD105" s="3">
        <v>513000</v>
      </c>
      <c r="AE105" s="3">
        <v>513000</v>
      </c>
      <c r="AF105" s="3">
        <v>513000</v>
      </c>
      <c r="AG105" s="3"/>
    </row>
    <row r="106" spans="18:33" ht="18" customHeight="1" x14ac:dyDescent="0.4">
      <c r="U106" s="3">
        <f>SUM(U103:U105)</f>
        <v>1525200</v>
      </c>
      <c r="V106" s="3">
        <f t="shared" ref="V106:AE106" si="35">SUM(V103:V105)</f>
        <v>1525200</v>
      </c>
      <c r="W106" s="3">
        <f t="shared" si="35"/>
        <v>1525200</v>
      </c>
      <c r="X106" s="3">
        <f t="shared" si="35"/>
        <v>1525200</v>
      </c>
      <c r="Y106" s="3">
        <f t="shared" si="35"/>
        <v>1197950</v>
      </c>
      <c r="Z106" s="3">
        <f t="shared" si="35"/>
        <v>1120950</v>
      </c>
      <c r="AA106" s="3">
        <f t="shared" si="35"/>
        <v>1120950</v>
      </c>
      <c r="AB106" s="3">
        <f t="shared" si="35"/>
        <v>1120950</v>
      </c>
      <c r="AC106" s="3">
        <f t="shared" si="35"/>
        <v>1120950</v>
      </c>
      <c r="AD106" s="3">
        <f t="shared" si="35"/>
        <v>1005450</v>
      </c>
      <c r="AE106" s="3">
        <f t="shared" si="35"/>
        <v>1005450</v>
      </c>
      <c r="AF106" s="3">
        <f>SUM(AF103:AF105)</f>
        <v>1005450</v>
      </c>
      <c r="AG106" s="41">
        <f>SUM(U106:AF106)</f>
        <v>14798900</v>
      </c>
    </row>
    <row r="107" spans="18:33" ht="18" customHeight="1" x14ac:dyDescent="0.4">
      <c r="R107" t="s">
        <v>45</v>
      </c>
      <c r="S107" t="s">
        <v>43</v>
      </c>
      <c r="U107" s="3">
        <v>263000</v>
      </c>
      <c r="V107" s="3">
        <v>263000</v>
      </c>
      <c r="W107" s="3">
        <v>263000</v>
      </c>
      <c r="X107" s="3">
        <v>263000</v>
      </c>
      <c r="Y107" s="3">
        <v>263000</v>
      </c>
      <c r="Z107" s="3">
        <v>263000</v>
      </c>
      <c r="AA107" s="3">
        <v>263000</v>
      </c>
      <c r="AB107" s="3">
        <v>263000</v>
      </c>
      <c r="AC107" s="3">
        <v>263000</v>
      </c>
      <c r="AD107" s="3">
        <v>263000</v>
      </c>
      <c r="AE107" s="3">
        <v>263000</v>
      </c>
      <c r="AF107" s="3">
        <v>263000</v>
      </c>
      <c r="AG107" s="3">
        <f>SUM(U107:AF107)</f>
        <v>3156000</v>
      </c>
    </row>
    <row r="108" spans="18:33" ht="18" customHeight="1" x14ac:dyDescent="0.4">
      <c r="R108" t="s">
        <v>46</v>
      </c>
      <c r="S108"/>
      <c r="AG108" s="3"/>
    </row>
    <row r="109" spans="18:33" ht="18" customHeight="1" x14ac:dyDescent="0.4">
      <c r="R109" t="s">
        <v>47</v>
      </c>
      <c r="S109" t="s">
        <v>48</v>
      </c>
      <c r="U109" s="3">
        <v>75600</v>
      </c>
      <c r="AG109" s="3">
        <f>SUM(U109:AF109)</f>
        <v>75600</v>
      </c>
    </row>
    <row r="110" spans="18:33" ht="18" customHeight="1" x14ac:dyDescent="0.4">
      <c r="R110"/>
      <c r="S110" t="s">
        <v>49</v>
      </c>
    </row>
    <row r="111" spans="18:33" x14ac:dyDescent="0.4">
      <c r="R111"/>
      <c r="S111" t="s">
        <v>50</v>
      </c>
    </row>
    <row r="112" spans="18:33" x14ac:dyDescent="0.4">
      <c r="R112" s="1" t="s">
        <v>29</v>
      </c>
      <c r="S112" s="1" t="s">
        <v>28</v>
      </c>
      <c r="U112" s="3">
        <v>0</v>
      </c>
      <c r="V112" s="3">
        <v>0</v>
      </c>
      <c r="W112" s="3">
        <v>0</v>
      </c>
      <c r="X112" s="3">
        <v>91200</v>
      </c>
      <c r="Y112" s="3">
        <v>91200</v>
      </c>
      <c r="Z112" s="3">
        <v>91200</v>
      </c>
      <c r="AA112" s="3">
        <v>91200</v>
      </c>
      <c r="AB112" s="3">
        <v>91200</v>
      </c>
      <c r="AC112" s="3">
        <v>91200</v>
      </c>
      <c r="AD112" s="3">
        <v>91200</v>
      </c>
      <c r="AE112" s="3">
        <v>91200</v>
      </c>
      <c r="AF112" s="3">
        <v>91200</v>
      </c>
      <c r="AG112" s="3">
        <f>SUM(T112:AF112)</f>
        <v>820800</v>
      </c>
    </row>
    <row r="113" spans="18:34" x14ac:dyDescent="0.4">
      <c r="R113" s="1" t="s">
        <v>32</v>
      </c>
      <c r="S113" s="1" t="s">
        <v>28</v>
      </c>
      <c r="U113" s="3">
        <v>0</v>
      </c>
      <c r="V113" s="3">
        <v>700000</v>
      </c>
      <c r="W113" s="3">
        <v>700000</v>
      </c>
      <c r="X113" s="3">
        <v>700000</v>
      </c>
      <c r="Y113" s="3">
        <v>700000</v>
      </c>
      <c r="Z113" s="3">
        <v>800000</v>
      </c>
      <c r="AA113" s="3">
        <v>800000</v>
      </c>
      <c r="AB113" s="3">
        <v>800000</v>
      </c>
      <c r="AC113" s="3">
        <v>800000</v>
      </c>
      <c r="AD113" s="3">
        <v>800000</v>
      </c>
      <c r="AE113" s="3">
        <v>800000</v>
      </c>
      <c r="AF113" s="3">
        <v>800000</v>
      </c>
      <c r="AG113" s="3">
        <f>SUM(T113:AF113)</f>
        <v>8400000</v>
      </c>
    </row>
    <row r="114" spans="18:34" x14ac:dyDescent="0.4">
      <c r="AG114" s="3"/>
    </row>
    <row r="115" spans="18:34" x14ac:dyDescent="0.4">
      <c r="S115" s="1" t="s">
        <v>30</v>
      </c>
      <c r="U115" s="3">
        <v>0</v>
      </c>
      <c r="V115" s="3">
        <v>0</v>
      </c>
      <c r="W115" s="3">
        <v>0</v>
      </c>
      <c r="X115" s="3">
        <v>19200</v>
      </c>
      <c r="Y115" s="3">
        <v>19200</v>
      </c>
      <c r="Z115" s="3">
        <v>19200</v>
      </c>
      <c r="AA115" s="3">
        <v>19200</v>
      </c>
      <c r="AB115" s="3">
        <v>19200</v>
      </c>
      <c r="AC115" s="3">
        <v>19200</v>
      </c>
      <c r="AD115" s="3">
        <v>19200</v>
      </c>
      <c r="AE115" s="3">
        <v>19200</v>
      </c>
      <c r="AF115" s="3">
        <v>19200</v>
      </c>
      <c r="AG115" s="3">
        <f>SUM(T115:AF115)</f>
        <v>172800</v>
      </c>
    </row>
    <row r="116" spans="18:34" x14ac:dyDescent="0.4">
      <c r="S116" s="1" t="s">
        <v>30</v>
      </c>
      <c r="U116" s="3">
        <v>0</v>
      </c>
      <c r="V116" s="3">
        <v>100000</v>
      </c>
      <c r="W116" s="3">
        <v>100000</v>
      </c>
      <c r="X116" s="3">
        <v>100000</v>
      </c>
      <c r="Y116" s="3">
        <v>100000</v>
      </c>
      <c r="Z116" s="3">
        <v>200000</v>
      </c>
      <c r="AA116" s="3">
        <v>200000</v>
      </c>
      <c r="AB116" s="3">
        <v>200000</v>
      </c>
      <c r="AC116" s="3">
        <v>200000</v>
      </c>
      <c r="AD116" s="3">
        <v>200000</v>
      </c>
      <c r="AE116" s="3">
        <v>200000</v>
      </c>
      <c r="AF116" s="3">
        <v>200000</v>
      </c>
      <c r="AG116" s="3">
        <f>SUM(T116:AF116)</f>
        <v>1800000</v>
      </c>
    </row>
    <row r="117" spans="18:34" x14ac:dyDescent="0.4">
      <c r="AG117" s="3"/>
    </row>
    <row r="118" spans="18:34" x14ac:dyDescent="0.4">
      <c r="S118" s="1" t="s">
        <v>31</v>
      </c>
      <c r="U118" s="3">
        <v>200000</v>
      </c>
      <c r="V118" s="3">
        <v>200000</v>
      </c>
      <c r="W118" s="3">
        <v>200000</v>
      </c>
      <c r="X118" s="3">
        <v>200000</v>
      </c>
      <c r="Y118" s="3">
        <v>200000</v>
      </c>
      <c r="Z118" s="3">
        <v>200000</v>
      </c>
      <c r="AA118" s="3">
        <v>200000</v>
      </c>
      <c r="AB118" s="3">
        <v>200000</v>
      </c>
      <c r="AC118" s="3">
        <v>200000</v>
      </c>
      <c r="AD118" s="3">
        <v>200000</v>
      </c>
      <c r="AE118" s="3">
        <v>200000</v>
      </c>
      <c r="AF118" s="3">
        <v>200000</v>
      </c>
      <c r="AG118" s="3">
        <f>SUM(U118:AF118)</f>
        <v>2400000</v>
      </c>
      <c r="AH118" s="3">
        <f>SUM(AG112:AG118)</f>
        <v>13593600</v>
      </c>
    </row>
    <row r="120" spans="18:34" x14ac:dyDescent="0.4">
      <c r="R120" s="1" t="s">
        <v>51</v>
      </c>
    </row>
    <row r="121" spans="18:34" x14ac:dyDescent="0.4">
      <c r="R121" s="1" t="s">
        <v>29</v>
      </c>
      <c r="S121" s="1" t="s">
        <v>28</v>
      </c>
      <c r="T121" s="1">
        <v>4000</v>
      </c>
      <c r="U121" s="3">
        <f>$T$121*$U$36</f>
        <v>0</v>
      </c>
      <c r="V121" s="3">
        <f>$T$121*$V$36</f>
        <v>0</v>
      </c>
      <c r="W121" s="3">
        <f>$T$121*$W$36</f>
        <v>0</v>
      </c>
      <c r="X121" s="3">
        <f>$T$121*$X$36</f>
        <v>96000</v>
      </c>
      <c r="Y121" s="3">
        <f>$T$121*$Y$36</f>
        <v>96000</v>
      </c>
      <c r="Z121" s="3">
        <f>$T$121*$Z$36</f>
        <v>96000</v>
      </c>
      <c r="AA121" s="3">
        <f>$T$121*$AA$36</f>
        <v>96000</v>
      </c>
      <c r="AB121" s="3">
        <f>$T$121*$AB$36</f>
        <v>96000</v>
      </c>
      <c r="AC121" s="3">
        <f>$T$121*$AC$36</f>
        <v>96000</v>
      </c>
      <c r="AD121" s="3">
        <f>$T$121*$AD$36</f>
        <v>96000</v>
      </c>
      <c r="AE121" s="3">
        <f>$T$121*$AE$36</f>
        <v>96000</v>
      </c>
      <c r="AF121" s="3">
        <f>$T$121*$AF$36</f>
        <v>96000</v>
      </c>
      <c r="AG121" s="3">
        <f>SUM(U121:AF121)</f>
        <v>864000</v>
      </c>
    </row>
    <row r="122" spans="18:34" x14ac:dyDescent="0.4">
      <c r="S122" s="1" t="s">
        <v>30</v>
      </c>
      <c r="T122" s="1">
        <v>3110</v>
      </c>
      <c r="U122" s="3">
        <f>$T122*$U$37</f>
        <v>0</v>
      </c>
      <c r="V122" s="3">
        <f>$T122*$V$37</f>
        <v>0</v>
      </c>
      <c r="W122" s="3">
        <f>$T$122*$W$37</f>
        <v>0</v>
      </c>
      <c r="X122" s="3">
        <f>$T$122*$X$37</f>
        <v>18660</v>
      </c>
      <c r="Y122" s="3">
        <f>$T$122*$Y$37</f>
        <v>18660</v>
      </c>
      <c r="Z122" s="3">
        <f>$T122*$Z$37</f>
        <v>18660</v>
      </c>
      <c r="AA122" s="3">
        <f>$T122*$Z$37</f>
        <v>18660</v>
      </c>
      <c r="AB122" s="3">
        <f>$T122*$Z$37</f>
        <v>18660</v>
      </c>
      <c r="AC122" s="3">
        <f>$T122*$Z$37</f>
        <v>18660</v>
      </c>
      <c r="AD122" s="3">
        <f t="shared" ref="AD122:AF122" si="36">$T122*$Z$37</f>
        <v>18660</v>
      </c>
      <c r="AE122" s="3">
        <f t="shared" si="36"/>
        <v>18660</v>
      </c>
      <c r="AF122" s="3">
        <f t="shared" si="36"/>
        <v>18660</v>
      </c>
      <c r="AG122" s="3">
        <f t="shared" ref="AG122:AG123" si="37">SUM(U122:AF122)</f>
        <v>167940</v>
      </c>
    </row>
    <row r="123" spans="18:34" x14ac:dyDescent="0.4">
      <c r="S123" s="1" t="s">
        <v>31</v>
      </c>
      <c r="T123" s="1">
        <v>7000</v>
      </c>
      <c r="U123" s="3">
        <f>$T$123*$U$38</f>
        <v>140000</v>
      </c>
      <c r="V123" s="3">
        <f>$T$123*$V$38</f>
        <v>140000</v>
      </c>
      <c r="W123" s="3">
        <f>$T123*$W$38</f>
        <v>140000</v>
      </c>
      <c r="X123" s="3">
        <f t="shared" ref="X123:AF123" si="38">$T123*$W$38</f>
        <v>140000</v>
      </c>
      <c r="Y123" s="3">
        <f t="shared" si="38"/>
        <v>140000</v>
      </c>
      <c r="Z123" s="3">
        <f t="shared" si="38"/>
        <v>140000</v>
      </c>
      <c r="AA123" s="3">
        <f t="shared" si="38"/>
        <v>140000</v>
      </c>
      <c r="AB123" s="3">
        <f t="shared" si="38"/>
        <v>140000</v>
      </c>
      <c r="AC123" s="3">
        <f t="shared" si="38"/>
        <v>140000</v>
      </c>
      <c r="AD123" s="3">
        <f t="shared" si="38"/>
        <v>140000</v>
      </c>
      <c r="AE123" s="3">
        <f t="shared" si="38"/>
        <v>140000</v>
      </c>
      <c r="AF123" s="3">
        <f t="shared" si="38"/>
        <v>140000</v>
      </c>
      <c r="AG123" s="3">
        <f t="shared" si="37"/>
        <v>1680000</v>
      </c>
    </row>
    <row r="124" spans="18:34" x14ac:dyDescent="0.4">
      <c r="R124" s="1" t="s">
        <v>32</v>
      </c>
      <c r="S124" s="1" t="s">
        <v>28</v>
      </c>
      <c r="U124" s="3">
        <f>$T$121*$U$39</f>
        <v>0</v>
      </c>
      <c r="V124" s="3">
        <f>$T$121*$V$39</f>
        <v>280000</v>
      </c>
      <c r="W124" s="3">
        <f>$T$121*$W$39</f>
        <v>280000</v>
      </c>
      <c r="X124" s="3">
        <f>$T$121*$X$39</f>
        <v>280000</v>
      </c>
      <c r="Y124" s="3">
        <f>$T$121*$Y$39</f>
        <v>280000</v>
      </c>
      <c r="Z124" s="3">
        <f>$T$121*$Z$39</f>
        <v>320000</v>
      </c>
      <c r="AA124" s="3">
        <f>$T$121*$AA$39</f>
        <v>320000</v>
      </c>
      <c r="AB124" s="3">
        <f>$T$121*$AB$39</f>
        <v>320000</v>
      </c>
      <c r="AC124" s="3">
        <f>$T$121*$AC$39</f>
        <v>320000</v>
      </c>
      <c r="AD124" s="3">
        <f>$T$121*$AD$39</f>
        <v>320000</v>
      </c>
      <c r="AE124" s="3">
        <f>$T$121*$AE$39</f>
        <v>320000</v>
      </c>
      <c r="AF124" s="3">
        <f>$T$121*$AF$39</f>
        <v>320000</v>
      </c>
      <c r="AG124" s="3">
        <f>SUM(U124:AF124)</f>
        <v>3360000</v>
      </c>
    </row>
    <row r="125" spans="18:34" x14ac:dyDescent="0.4">
      <c r="S125" s="1" t="s">
        <v>30</v>
      </c>
      <c r="T125" s="1">
        <v>3110</v>
      </c>
      <c r="U125" s="3">
        <f>$T125*$U$40</f>
        <v>0</v>
      </c>
      <c r="V125" s="3">
        <f>$T125*$V$40</f>
        <v>31100</v>
      </c>
      <c r="W125" s="3">
        <f>$T$122*$W$40</f>
        <v>31100</v>
      </c>
      <c r="X125" s="3">
        <f>$T$122*$X$40</f>
        <v>31100</v>
      </c>
      <c r="Y125" s="3">
        <f>$T$122*$Y$40</f>
        <v>31100</v>
      </c>
      <c r="Z125" s="3">
        <f t="shared" ref="Z125:AF125" si="39">$T125*$Z$40</f>
        <v>62200</v>
      </c>
      <c r="AA125" s="3">
        <f t="shared" si="39"/>
        <v>62200</v>
      </c>
      <c r="AB125" s="3">
        <f t="shared" si="39"/>
        <v>62200</v>
      </c>
      <c r="AC125" s="3">
        <f t="shared" si="39"/>
        <v>62200</v>
      </c>
      <c r="AD125" s="3">
        <f t="shared" si="39"/>
        <v>62200</v>
      </c>
      <c r="AE125" s="3">
        <f t="shared" si="39"/>
        <v>62200</v>
      </c>
      <c r="AF125" s="3">
        <f t="shared" si="39"/>
        <v>62200</v>
      </c>
      <c r="AG125" s="3">
        <f>SUM(U125:AF125)</f>
        <v>559800</v>
      </c>
      <c r="AH125" s="3">
        <f>SUM(AG121:AG125)</f>
        <v>6631740</v>
      </c>
    </row>
    <row r="127" spans="18:34" x14ac:dyDescent="0.4">
      <c r="AF127" s="3">
        <f>AH127-AG127</f>
        <v>-2678340</v>
      </c>
      <c r="AG127" s="3">
        <f>SUM(AG121:AG124)</f>
        <v>6071940</v>
      </c>
      <c r="AH127" s="3">
        <f>AG112+AG115+AG118</f>
        <v>3393600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F091-8E1C-4BC4-8994-CA0780866E08}">
  <dimension ref="A1:P127"/>
  <sheetViews>
    <sheetView tabSelected="1" workbookViewId="0">
      <selection activeCell="E20" sqref="E20"/>
    </sheetView>
  </sheetViews>
  <sheetFormatPr defaultRowHeight="18.75" x14ac:dyDescent="0.4"/>
  <cols>
    <col min="1" max="1" width="14.5" style="1" bestFit="1" customWidth="1"/>
    <col min="2" max="2" width="33.875" style="1" bestFit="1" customWidth="1"/>
    <col min="3" max="3" width="11.625" style="1" customWidth="1"/>
    <col min="4" max="15" width="12.75" style="3" customWidth="1"/>
    <col min="16" max="16" width="11.25" style="1" customWidth="1"/>
  </cols>
  <sheetData>
    <row r="1" spans="1:16" x14ac:dyDescent="0.4">
      <c r="A1" s="1" t="s">
        <v>0</v>
      </c>
      <c r="B1" s="1" t="s">
        <v>1</v>
      </c>
      <c r="C1" s="1" t="s">
        <v>52</v>
      </c>
    </row>
    <row r="2" spans="1:16" x14ac:dyDescent="0.4">
      <c r="A2" s="4" t="s">
        <v>2</v>
      </c>
      <c r="B2" s="1" t="s">
        <v>1</v>
      </c>
      <c r="C2" s="1" t="s">
        <v>52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5" t="s">
        <v>15</v>
      </c>
    </row>
    <row r="3" spans="1:16" x14ac:dyDescent="0.4">
      <c r="A3" s="4"/>
      <c r="B3" s="7" t="s">
        <v>16</v>
      </c>
      <c r="C3" s="4">
        <v>3690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4"/>
    </row>
    <row r="4" spans="1:16" x14ac:dyDescent="0.4">
      <c r="A4" s="4"/>
      <c r="B4" s="7" t="s">
        <v>17</v>
      </c>
      <c r="C4" s="4">
        <v>4130</v>
      </c>
      <c r="D4" s="8">
        <v>80</v>
      </c>
      <c r="E4" s="8">
        <v>80</v>
      </c>
      <c r="F4" s="8">
        <v>80</v>
      </c>
      <c r="G4" s="8">
        <v>80</v>
      </c>
      <c r="H4" s="8">
        <v>80</v>
      </c>
      <c r="I4" s="8">
        <v>80</v>
      </c>
      <c r="J4" s="8">
        <v>80</v>
      </c>
      <c r="K4" s="8">
        <v>80</v>
      </c>
      <c r="L4" s="8">
        <v>80</v>
      </c>
      <c r="M4" s="8">
        <v>80</v>
      </c>
      <c r="N4" s="8">
        <v>80</v>
      </c>
      <c r="O4" s="8">
        <v>80</v>
      </c>
      <c r="P4" s="4"/>
    </row>
    <row r="5" spans="1:16" x14ac:dyDescent="0.4">
      <c r="A5" s="4"/>
      <c r="B5" s="7" t="s">
        <v>18</v>
      </c>
      <c r="C5" s="4">
        <v>6750</v>
      </c>
      <c r="D5" s="8">
        <v>2</v>
      </c>
      <c r="E5" s="8">
        <v>2</v>
      </c>
      <c r="F5" s="8">
        <v>2</v>
      </c>
      <c r="G5" s="8">
        <v>2</v>
      </c>
      <c r="H5" s="8">
        <v>2</v>
      </c>
      <c r="I5" s="8">
        <v>2</v>
      </c>
      <c r="J5" s="8">
        <v>2</v>
      </c>
      <c r="K5" s="8">
        <v>2</v>
      </c>
      <c r="L5" s="8">
        <v>2</v>
      </c>
      <c r="M5" s="8">
        <v>2</v>
      </c>
      <c r="N5" s="8">
        <v>2</v>
      </c>
      <c r="O5" s="8">
        <v>2</v>
      </c>
      <c r="P5" s="4"/>
    </row>
    <row r="6" spans="1:16" x14ac:dyDescent="0.4">
      <c r="A6" s="4"/>
      <c r="B6" s="7" t="s">
        <v>19</v>
      </c>
      <c r="C6" s="4">
        <v>4200</v>
      </c>
      <c r="D6" s="8">
        <v>18</v>
      </c>
      <c r="E6" s="8">
        <v>18</v>
      </c>
      <c r="F6" s="8">
        <v>18</v>
      </c>
      <c r="G6" s="8">
        <v>18</v>
      </c>
      <c r="H6" s="8">
        <v>18</v>
      </c>
      <c r="I6" s="8">
        <v>18</v>
      </c>
      <c r="J6" s="8">
        <v>18</v>
      </c>
      <c r="K6" s="8">
        <v>18</v>
      </c>
      <c r="L6" s="8">
        <v>18</v>
      </c>
      <c r="M6" s="8">
        <v>18</v>
      </c>
      <c r="N6" s="8">
        <v>18</v>
      </c>
      <c r="O6" s="8">
        <v>18</v>
      </c>
      <c r="P6" s="4"/>
    </row>
    <row r="7" spans="1:16" x14ac:dyDescent="0.4">
      <c r="A7" s="4"/>
      <c r="B7" s="7" t="s">
        <v>20</v>
      </c>
      <c r="C7" s="4">
        <v>4010</v>
      </c>
      <c r="D7" s="8">
        <v>70</v>
      </c>
      <c r="E7" s="8">
        <v>70</v>
      </c>
      <c r="F7" s="8">
        <v>70</v>
      </c>
      <c r="G7" s="8">
        <v>70</v>
      </c>
      <c r="H7" s="8">
        <v>70</v>
      </c>
      <c r="I7" s="8">
        <v>70</v>
      </c>
      <c r="J7" s="8">
        <v>70</v>
      </c>
      <c r="K7" s="8">
        <v>70</v>
      </c>
      <c r="L7" s="8">
        <v>70</v>
      </c>
      <c r="M7" s="8">
        <v>70</v>
      </c>
      <c r="N7" s="8">
        <v>70</v>
      </c>
      <c r="O7" s="8">
        <v>70</v>
      </c>
      <c r="P7" s="4"/>
    </row>
    <row r="8" spans="1:16" x14ac:dyDescent="0.4">
      <c r="A8" s="4"/>
      <c r="B8" s="7" t="s">
        <v>21</v>
      </c>
      <c r="C8" s="4">
        <v>3800</v>
      </c>
      <c r="D8" s="8">
        <v>135</v>
      </c>
      <c r="E8" s="8">
        <v>135</v>
      </c>
      <c r="F8" s="8">
        <v>135</v>
      </c>
      <c r="G8" s="8">
        <v>135</v>
      </c>
      <c r="H8" s="8">
        <v>135</v>
      </c>
      <c r="I8" s="8">
        <v>135</v>
      </c>
      <c r="J8" s="8">
        <v>135</v>
      </c>
      <c r="K8" s="8">
        <v>135</v>
      </c>
      <c r="L8" s="8">
        <v>135</v>
      </c>
      <c r="M8" s="8">
        <v>135</v>
      </c>
      <c r="N8" s="8">
        <v>135</v>
      </c>
      <c r="O8" s="8">
        <v>135</v>
      </c>
      <c r="P8" s="4"/>
    </row>
    <row r="9" spans="1:16" x14ac:dyDescent="0.4">
      <c r="A9" s="4"/>
      <c r="B9" s="7" t="s">
        <v>22</v>
      </c>
      <c r="C9" s="4">
        <v>3850</v>
      </c>
      <c r="D9" s="8">
        <v>190</v>
      </c>
      <c r="E9" s="8">
        <v>190</v>
      </c>
      <c r="F9" s="8">
        <v>190</v>
      </c>
      <c r="G9" s="8">
        <v>190</v>
      </c>
      <c r="H9" s="8">
        <v>190</v>
      </c>
      <c r="I9" s="8">
        <v>190</v>
      </c>
      <c r="J9" s="8">
        <v>190</v>
      </c>
      <c r="K9" s="8">
        <v>190</v>
      </c>
      <c r="L9" s="8">
        <v>190</v>
      </c>
      <c r="M9" s="8">
        <v>190</v>
      </c>
      <c r="N9" s="8">
        <v>190</v>
      </c>
      <c r="O9" s="8">
        <v>190</v>
      </c>
      <c r="P9" s="4"/>
    </row>
    <row r="10" spans="1:16" x14ac:dyDescent="0.4">
      <c r="A10" s="4"/>
      <c r="B10" s="7" t="s">
        <v>23</v>
      </c>
      <c r="C10" s="4">
        <v>2630</v>
      </c>
      <c r="D10" s="8">
        <v>100</v>
      </c>
      <c r="E10" s="8">
        <v>100</v>
      </c>
      <c r="F10" s="8">
        <v>100</v>
      </c>
      <c r="G10" s="8">
        <v>100</v>
      </c>
      <c r="H10" s="8">
        <v>100</v>
      </c>
      <c r="I10" s="8">
        <v>100</v>
      </c>
      <c r="J10" s="8">
        <v>100</v>
      </c>
      <c r="K10" s="8">
        <v>100</v>
      </c>
      <c r="L10" s="8">
        <v>100</v>
      </c>
      <c r="M10" s="8">
        <v>100</v>
      </c>
      <c r="N10" s="8">
        <v>100</v>
      </c>
      <c r="O10" s="8">
        <v>100</v>
      </c>
      <c r="P10" s="4"/>
    </row>
    <row r="11" spans="1:16" x14ac:dyDescent="0.4">
      <c r="A11" s="4"/>
      <c r="B11" s="7" t="s">
        <v>24</v>
      </c>
      <c r="C11" s="4">
        <v>4200</v>
      </c>
      <c r="D11" s="8">
        <v>1</v>
      </c>
      <c r="E11" s="8">
        <v>1</v>
      </c>
      <c r="F11" s="8">
        <v>1</v>
      </c>
      <c r="G11" s="8">
        <v>1</v>
      </c>
      <c r="H11" s="8">
        <v>1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  <c r="N11" s="8">
        <v>1</v>
      </c>
      <c r="O11" s="8">
        <v>1</v>
      </c>
      <c r="P11" s="4"/>
    </row>
    <row r="14" spans="1:16" x14ac:dyDescent="0.4">
      <c r="A14" s="10" t="s">
        <v>53</v>
      </c>
      <c r="B14" s="1" t="s">
        <v>1</v>
      </c>
      <c r="C14" s="1" t="s">
        <v>52</v>
      </c>
      <c r="D14" s="12" t="s">
        <v>3</v>
      </c>
      <c r="E14" s="12" t="s">
        <v>4</v>
      </c>
      <c r="F14" s="12" t="s">
        <v>5</v>
      </c>
      <c r="G14" s="12" t="s">
        <v>6</v>
      </c>
      <c r="H14" s="12" t="s">
        <v>7</v>
      </c>
      <c r="I14" s="12" t="s">
        <v>8</v>
      </c>
      <c r="J14" s="12" t="s">
        <v>9</v>
      </c>
      <c r="K14" s="12" t="s">
        <v>10</v>
      </c>
      <c r="L14" s="12" t="s">
        <v>11</v>
      </c>
      <c r="M14" s="12" t="s">
        <v>12</v>
      </c>
      <c r="N14" s="12" t="s">
        <v>13</v>
      </c>
      <c r="O14" s="12" t="s">
        <v>14</v>
      </c>
      <c r="P14" s="10" t="s">
        <v>55</v>
      </c>
    </row>
    <row r="15" spans="1:16" x14ac:dyDescent="0.4">
      <c r="A15" s="10"/>
      <c r="B15" s="13" t="s">
        <v>16</v>
      </c>
      <c r="C15" s="10">
        <v>3690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0"/>
    </row>
    <row r="16" spans="1:16" x14ac:dyDescent="0.4">
      <c r="A16" s="10"/>
      <c r="B16" s="13" t="s">
        <v>17</v>
      </c>
      <c r="C16" s="10">
        <v>4130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0"/>
    </row>
    <row r="17" spans="1:16" x14ac:dyDescent="0.4">
      <c r="A17" s="10"/>
      <c r="B17" s="13" t="s">
        <v>18</v>
      </c>
      <c r="C17" s="10">
        <v>6750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0"/>
    </row>
    <row r="18" spans="1:16" x14ac:dyDescent="0.4">
      <c r="A18" s="10"/>
      <c r="B18" s="13" t="s">
        <v>19</v>
      </c>
      <c r="C18" s="10">
        <v>4200</v>
      </c>
      <c r="D18" s="14"/>
      <c r="E18" s="14">
        <v>18</v>
      </c>
      <c r="F18" s="14">
        <v>18</v>
      </c>
      <c r="G18" s="14">
        <v>18</v>
      </c>
      <c r="H18" s="14">
        <v>18</v>
      </c>
      <c r="I18" s="14">
        <v>18</v>
      </c>
      <c r="J18" s="14">
        <v>18</v>
      </c>
      <c r="K18" s="14">
        <v>18</v>
      </c>
      <c r="L18" s="14">
        <v>18</v>
      </c>
      <c r="M18" s="14">
        <v>18</v>
      </c>
      <c r="N18" s="14">
        <v>18</v>
      </c>
      <c r="O18" s="14">
        <v>18</v>
      </c>
      <c r="P18" s="10"/>
    </row>
    <row r="19" spans="1:16" x14ac:dyDescent="0.4">
      <c r="A19" s="10"/>
      <c r="B19" s="13" t="s">
        <v>20</v>
      </c>
      <c r="C19" s="10">
        <v>4010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0"/>
    </row>
    <row r="20" spans="1:16" x14ac:dyDescent="0.4">
      <c r="A20" s="10"/>
      <c r="B20" s="13" t="s">
        <v>21</v>
      </c>
      <c r="C20" s="10">
        <v>3800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0"/>
    </row>
    <row r="21" spans="1:16" x14ac:dyDescent="0.4">
      <c r="A21" s="10"/>
      <c r="B21" s="13" t="s">
        <v>22</v>
      </c>
      <c r="C21" s="10">
        <v>3850</v>
      </c>
      <c r="D21" s="14"/>
      <c r="E21" s="14"/>
      <c r="F21" s="14"/>
      <c r="G21" s="14"/>
      <c r="H21" s="14">
        <v>85</v>
      </c>
      <c r="I21" s="14">
        <v>105</v>
      </c>
      <c r="J21" s="14">
        <v>105</v>
      </c>
      <c r="K21" s="14">
        <v>105</v>
      </c>
      <c r="L21" s="14">
        <v>105</v>
      </c>
      <c r="M21" s="14">
        <v>135</v>
      </c>
      <c r="N21" s="14">
        <v>135</v>
      </c>
      <c r="O21" s="14">
        <v>135</v>
      </c>
      <c r="P21" s="10"/>
    </row>
    <row r="22" spans="1:16" x14ac:dyDescent="0.4">
      <c r="A22" s="10"/>
      <c r="B22" s="13" t="s">
        <v>23</v>
      </c>
      <c r="C22" s="10">
        <v>2630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0"/>
    </row>
    <row r="23" spans="1:16" x14ac:dyDescent="0.4">
      <c r="A23" s="10"/>
      <c r="B23" s="13" t="s">
        <v>24</v>
      </c>
      <c r="C23" s="10">
        <v>4200</v>
      </c>
      <c r="D23" s="14">
        <v>1</v>
      </c>
      <c r="E23" s="14">
        <v>1</v>
      </c>
      <c r="F23" s="14">
        <v>1</v>
      </c>
      <c r="G23" s="14">
        <v>1</v>
      </c>
      <c r="H23" s="14">
        <v>1</v>
      </c>
      <c r="I23" s="14">
        <v>1</v>
      </c>
      <c r="J23" s="14">
        <v>1</v>
      </c>
      <c r="K23" s="14">
        <v>1</v>
      </c>
      <c r="L23" s="14">
        <v>1</v>
      </c>
      <c r="M23" s="14">
        <v>1</v>
      </c>
      <c r="N23" s="14">
        <v>1</v>
      </c>
      <c r="O23" s="14">
        <v>1</v>
      </c>
      <c r="P23" s="10"/>
    </row>
    <row r="25" spans="1:16" x14ac:dyDescent="0.4">
      <c r="B25" s="1" t="s">
        <v>1</v>
      </c>
      <c r="C25" s="1" t="s">
        <v>52</v>
      </c>
    </row>
    <row r="26" spans="1:16" x14ac:dyDescent="0.4">
      <c r="A26" s="15" t="s">
        <v>54</v>
      </c>
      <c r="B26" s="1" t="s">
        <v>1</v>
      </c>
      <c r="C26" s="1" t="s">
        <v>52</v>
      </c>
      <c r="D26" s="17" t="s">
        <v>3</v>
      </c>
      <c r="E26" s="17" t="s">
        <v>4</v>
      </c>
      <c r="F26" s="17" t="s">
        <v>5</v>
      </c>
      <c r="G26" s="17" t="s">
        <v>6</v>
      </c>
      <c r="H26" s="17" t="s">
        <v>7</v>
      </c>
      <c r="I26" s="17" t="s">
        <v>8</v>
      </c>
      <c r="J26" s="17" t="s">
        <v>9</v>
      </c>
      <c r="K26" s="17" t="s">
        <v>10</v>
      </c>
      <c r="L26" s="17" t="s">
        <v>11</v>
      </c>
      <c r="M26" s="17" t="s">
        <v>12</v>
      </c>
      <c r="N26" s="17" t="s">
        <v>13</v>
      </c>
      <c r="O26" s="17" t="s">
        <v>14</v>
      </c>
      <c r="P26" s="15" t="s">
        <v>55</v>
      </c>
    </row>
    <row r="27" spans="1:16" x14ac:dyDescent="0.4">
      <c r="A27" s="15"/>
      <c r="B27" s="18" t="s">
        <v>16</v>
      </c>
      <c r="C27" s="15">
        <v>3690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5"/>
    </row>
    <row r="28" spans="1:16" x14ac:dyDescent="0.4">
      <c r="A28" s="15"/>
      <c r="B28" s="18" t="s">
        <v>17</v>
      </c>
      <c r="C28" s="15">
        <v>4130</v>
      </c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5"/>
    </row>
    <row r="29" spans="1:16" x14ac:dyDescent="0.4">
      <c r="A29" s="15"/>
      <c r="B29" s="18" t="s">
        <v>18</v>
      </c>
      <c r="C29" s="15">
        <v>6750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5"/>
    </row>
    <row r="30" spans="1:16" x14ac:dyDescent="0.4">
      <c r="A30" s="15"/>
      <c r="B30" s="18" t="s">
        <v>19</v>
      </c>
      <c r="C30" s="15">
        <v>4200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5"/>
    </row>
    <row r="31" spans="1:16" x14ac:dyDescent="0.4">
      <c r="A31" s="15"/>
      <c r="B31" s="18" t="s">
        <v>20</v>
      </c>
      <c r="C31" s="15">
        <v>4010</v>
      </c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5"/>
    </row>
    <row r="32" spans="1:16" x14ac:dyDescent="0.4">
      <c r="A32" s="15"/>
      <c r="B32" s="18" t="s">
        <v>21</v>
      </c>
      <c r="C32" s="15">
        <v>3800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5"/>
    </row>
    <row r="33" spans="1:16" x14ac:dyDescent="0.4">
      <c r="A33" s="15"/>
      <c r="B33" s="18" t="s">
        <v>22</v>
      </c>
      <c r="C33" s="15">
        <v>3850</v>
      </c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5"/>
    </row>
    <row r="34" spans="1:16" x14ac:dyDescent="0.4">
      <c r="A34" s="15"/>
      <c r="B34" s="18" t="s">
        <v>23</v>
      </c>
      <c r="C34" s="15">
        <v>2630</v>
      </c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5"/>
    </row>
    <row r="35" spans="1:16" x14ac:dyDescent="0.4">
      <c r="A35" s="15"/>
      <c r="B35" s="18" t="s">
        <v>24</v>
      </c>
      <c r="C35" s="15">
        <v>4200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5"/>
    </row>
    <row r="36" spans="1:16" x14ac:dyDescent="0.4">
      <c r="A36" s="15" t="s">
        <v>29</v>
      </c>
      <c r="B36" s="15" t="s">
        <v>28</v>
      </c>
      <c r="C36" s="15">
        <v>3800</v>
      </c>
      <c r="D36" s="19"/>
      <c r="E36" s="19"/>
      <c r="F36" s="19"/>
      <c r="G36" s="19">
        <v>24</v>
      </c>
      <c r="H36" s="19">
        <v>24</v>
      </c>
      <c r="I36" s="19">
        <v>24</v>
      </c>
      <c r="J36" s="19">
        <v>24</v>
      </c>
      <c r="K36" s="19">
        <v>24</v>
      </c>
      <c r="L36" s="19">
        <v>24</v>
      </c>
      <c r="M36" s="19">
        <v>24</v>
      </c>
      <c r="N36" s="19">
        <v>24</v>
      </c>
      <c r="O36" s="19">
        <v>24</v>
      </c>
      <c r="P36" s="15"/>
    </row>
    <row r="37" spans="1:16" x14ac:dyDescent="0.4">
      <c r="A37" s="15"/>
      <c r="B37" s="15" t="s">
        <v>30</v>
      </c>
      <c r="C37" s="15">
        <v>3200</v>
      </c>
      <c r="D37" s="19"/>
      <c r="E37" s="19"/>
      <c r="F37" s="19"/>
      <c r="G37" s="19">
        <v>6</v>
      </c>
      <c r="H37" s="19">
        <v>6</v>
      </c>
      <c r="I37" s="19">
        <v>6</v>
      </c>
      <c r="J37" s="19">
        <v>6</v>
      </c>
      <c r="K37" s="19">
        <v>6</v>
      </c>
      <c r="L37" s="19">
        <v>6</v>
      </c>
      <c r="M37" s="19">
        <v>6</v>
      </c>
      <c r="N37" s="19">
        <v>6</v>
      </c>
      <c r="O37" s="19">
        <v>6</v>
      </c>
      <c r="P37" s="15"/>
    </row>
    <row r="38" spans="1:16" x14ac:dyDescent="0.4">
      <c r="A38" s="15"/>
      <c r="B38" s="15" t="s">
        <v>31</v>
      </c>
      <c r="C38" s="15">
        <v>10000</v>
      </c>
      <c r="D38" s="19">
        <v>20</v>
      </c>
      <c r="E38" s="19">
        <v>20</v>
      </c>
      <c r="F38" s="19">
        <v>20</v>
      </c>
      <c r="G38" s="19">
        <v>20</v>
      </c>
      <c r="H38" s="19">
        <v>20</v>
      </c>
      <c r="I38" s="19">
        <v>20</v>
      </c>
      <c r="J38" s="19">
        <v>20</v>
      </c>
      <c r="K38" s="19">
        <v>20</v>
      </c>
      <c r="L38" s="19">
        <v>20</v>
      </c>
      <c r="M38" s="19">
        <v>20</v>
      </c>
      <c r="N38" s="19">
        <v>20</v>
      </c>
      <c r="O38" s="19">
        <v>20</v>
      </c>
      <c r="P38" s="15"/>
    </row>
    <row r="39" spans="1:16" x14ac:dyDescent="0.4">
      <c r="A39" s="15" t="s">
        <v>32</v>
      </c>
      <c r="B39" s="15" t="s">
        <v>28</v>
      </c>
      <c r="C39" s="15">
        <v>3800</v>
      </c>
      <c r="D39" s="19"/>
      <c r="E39" s="19">
        <v>70</v>
      </c>
      <c r="F39" s="19">
        <v>70</v>
      </c>
      <c r="G39" s="19">
        <v>70</v>
      </c>
      <c r="H39" s="19">
        <v>70</v>
      </c>
      <c r="I39" s="19">
        <v>80</v>
      </c>
      <c r="J39" s="19">
        <v>80</v>
      </c>
      <c r="K39" s="19">
        <v>80</v>
      </c>
      <c r="L39" s="19">
        <v>80</v>
      </c>
      <c r="M39" s="19">
        <v>80</v>
      </c>
      <c r="N39" s="19">
        <v>80</v>
      </c>
      <c r="O39" s="19">
        <v>80</v>
      </c>
      <c r="P39" s="15"/>
    </row>
    <row r="40" spans="1:16" x14ac:dyDescent="0.4">
      <c r="A40" s="15"/>
      <c r="B40" s="15" t="s">
        <v>30</v>
      </c>
      <c r="C40" s="15">
        <v>3200</v>
      </c>
      <c r="D40" s="19"/>
      <c r="E40" s="19">
        <v>10</v>
      </c>
      <c r="F40" s="19">
        <v>10</v>
      </c>
      <c r="G40" s="19">
        <v>10</v>
      </c>
      <c r="H40" s="19">
        <v>10</v>
      </c>
      <c r="I40" s="19">
        <v>20</v>
      </c>
      <c r="J40" s="19">
        <v>20</v>
      </c>
      <c r="K40" s="19">
        <v>20</v>
      </c>
      <c r="L40" s="19">
        <v>20</v>
      </c>
      <c r="M40" s="19">
        <v>20</v>
      </c>
      <c r="N40" s="19">
        <v>20</v>
      </c>
      <c r="O40" s="19">
        <v>20</v>
      </c>
      <c r="P40" s="15"/>
    </row>
    <row r="41" spans="1:16" x14ac:dyDescent="0.4">
      <c r="A41" s="15"/>
      <c r="B41" s="15"/>
      <c r="C41" s="15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5"/>
    </row>
    <row r="42" spans="1:16" x14ac:dyDescent="0.4">
      <c r="A42" s="15"/>
      <c r="B42" s="15"/>
      <c r="C42" s="15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5"/>
    </row>
    <row r="43" spans="1:16" x14ac:dyDescent="0.4">
      <c r="A43" s="23"/>
      <c r="B43" s="24"/>
      <c r="C43" s="23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3"/>
    </row>
    <row r="45" spans="1:16" x14ac:dyDescent="0.4">
      <c r="A45" s="1" t="s">
        <v>36</v>
      </c>
      <c r="B45" s="1" t="s">
        <v>37</v>
      </c>
      <c r="C45" s="1" t="s">
        <v>52</v>
      </c>
    </row>
    <row r="46" spans="1:16" x14ac:dyDescent="0.4">
      <c r="A46" s="26" t="s">
        <v>38</v>
      </c>
      <c r="B46" s="26"/>
      <c r="C46" s="26"/>
      <c r="D46" s="28" t="s">
        <v>3</v>
      </c>
      <c r="E46" s="28" t="s">
        <v>4</v>
      </c>
      <c r="F46" s="28" t="s">
        <v>5</v>
      </c>
      <c r="G46" s="28" t="s">
        <v>6</v>
      </c>
      <c r="H46" s="28" t="s">
        <v>7</v>
      </c>
      <c r="I46" s="28" t="s">
        <v>8</v>
      </c>
      <c r="J46" s="28" t="s">
        <v>9</v>
      </c>
      <c r="K46" s="28" t="s">
        <v>10</v>
      </c>
      <c r="L46" s="28" t="s">
        <v>11</v>
      </c>
      <c r="M46" s="28" t="s">
        <v>12</v>
      </c>
      <c r="N46" s="28" t="s">
        <v>13</v>
      </c>
      <c r="O46" s="28" t="s">
        <v>14</v>
      </c>
      <c r="P46" s="27" t="s">
        <v>15</v>
      </c>
    </row>
    <row r="47" spans="1:16" x14ac:dyDescent="0.4">
      <c r="A47" s="26"/>
      <c r="B47" s="29" t="s">
        <v>16</v>
      </c>
      <c r="C47" s="26">
        <v>3690</v>
      </c>
      <c r="D47" s="30">
        <f t="shared" ref="D47:O47" si="0">D3*$T$3</f>
        <v>0</v>
      </c>
      <c r="E47" s="30">
        <f t="shared" si="0"/>
        <v>0</v>
      </c>
      <c r="F47" s="30">
        <f t="shared" si="0"/>
        <v>0</v>
      </c>
      <c r="G47" s="30">
        <f t="shared" si="0"/>
        <v>0</v>
      </c>
      <c r="H47" s="30">
        <f t="shared" si="0"/>
        <v>0</v>
      </c>
      <c r="I47" s="30">
        <f t="shared" si="0"/>
        <v>0</v>
      </c>
      <c r="J47" s="30">
        <f t="shared" si="0"/>
        <v>0</v>
      </c>
      <c r="K47" s="30">
        <f t="shared" si="0"/>
        <v>0</v>
      </c>
      <c r="L47" s="30">
        <f t="shared" si="0"/>
        <v>0</v>
      </c>
      <c r="M47" s="30">
        <f t="shared" si="0"/>
        <v>0</v>
      </c>
      <c r="N47" s="30">
        <f t="shared" si="0"/>
        <v>0</v>
      </c>
      <c r="O47" s="30">
        <f t="shared" si="0"/>
        <v>0</v>
      </c>
      <c r="P47" s="26"/>
    </row>
    <row r="48" spans="1:16" x14ac:dyDescent="0.4">
      <c r="A48" s="26"/>
      <c r="B48" s="29" t="s">
        <v>17</v>
      </c>
      <c r="C48" s="26">
        <v>4130</v>
      </c>
      <c r="D48" s="30">
        <f t="shared" ref="D48:O48" si="1">D4*$T$4</f>
        <v>0</v>
      </c>
      <c r="E48" s="30">
        <f t="shared" si="1"/>
        <v>0</v>
      </c>
      <c r="F48" s="30">
        <f t="shared" si="1"/>
        <v>0</v>
      </c>
      <c r="G48" s="30">
        <f t="shared" si="1"/>
        <v>0</v>
      </c>
      <c r="H48" s="30">
        <f t="shared" si="1"/>
        <v>0</v>
      </c>
      <c r="I48" s="30">
        <f t="shared" si="1"/>
        <v>0</v>
      </c>
      <c r="J48" s="30">
        <f t="shared" si="1"/>
        <v>0</v>
      </c>
      <c r="K48" s="30">
        <f t="shared" si="1"/>
        <v>0</v>
      </c>
      <c r="L48" s="30">
        <f t="shared" si="1"/>
        <v>0</v>
      </c>
      <c r="M48" s="30">
        <f t="shared" si="1"/>
        <v>0</v>
      </c>
      <c r="N48" s="30">
        <f t="shared" si="1"/>
        <v>0</v>
      </c>
      <c r="O48" s="30">
        <f t="shared" si="1"/>
        <v>0</v>
      </c>
      <c r="P48" s="26"/>
    </row>
    <row r="49" spans="1:16" x14ac:dyDescent="0.4">
      <c r="A49" s="26"/>
      <c r="B49" s="29" t="s">
        <v>18</v>
      </c>
      <c r="C49" s="26">
        <v>6750</v>
      </c>
      <c r="D49" s="30">
        <f t="shared" ref="D49:O49" si="2">D5*$T$5</f>
        <v>0</v>
      </c>
      <c r="E49" s="30">
        <f t="shared" si="2"/>
        <v>0</v>
      </c>
      <c r="F49" s="30">
        <f t="shared" si="2"/>
        <v>0</v>
      </c>
      <c r="G49" s="30">
        <f t="shared" si="2"/>
        <v>0</v>
      </c>
      <c r="H49" s="30">
        <f t="shared" si="2"/>
        <v>0</v>
      </c>
      <c r="I49" s="30">
        <f t="shared" si="2"/>
        <v>0</v>
      </c>
      <c r="J49" s="30">
        <f t="shared" si="2"/>
        <v>0</v>
      </c>
      <c r="K49" s="30">
        <f t="shared" si="2"/>
        <v>0</v>
      </c>
      <c r="L49" s="30">
        <f t="shared" si="2"/>
        <v>0</v>
      </c>
      <c r="M49" s="30">
        <f t="shared" si="2"/>
        <v>0</v>
      </c>
      <c r="N49" s="30">
        <f t="shared" si="2"/>
        <v>0</v>
      </c>
      <c r="O49" s="30">
        <f t="shared" si="2"/>
        <v>0</v>
      </c>
      <c r="P49" s="26"/>
    </row>
    <row r="50" spans="1:16" x14ac:dyDescent="0.4">
      <c r="A50" s="26"/>
      <c r="B50" s="29" t="s">
        <v>19</v>
      </c>
      <c r="C50" s="26">
        <v>4200</v>
      </c>
      <c r="D50" s="30">
        <f t="shared" ref="D50:O50" si="3">D6*$T$6</f>
        <v>0</v>
      </c>
      <c r="E50" s="30">
        <f t="shared" si="3"/>
        <v>0</v>
      </c>
      <c r="F50" s="30">
        <f t="shared" si="3"/>
        <v>0</v>
      </c>
      <c r="G50" s="30">
        <f t="shared" si="3"/>
        <v>0</v>
      </c>
      <c r="H50" s="30">
        <f t="shared" si="3"/>
        <v>0</v>
      </c>
      <c r="I50" s="30">
        <f t="shared" si="3"/>
        <v>0</v>
      </c>
      <c r="J50" s="30">
        <f t="shared" si="3"/>
        <v>0</v>
      </c>
      <c r="K50" s="30">
        <f t="shared" si="3"/>
        <v>0</v>
      </c>
      <c r="L50" s="30">
        <f t="shared" si="3"/>
        <v>0</v>
      </c>
      <c r="M50" s="30">
        <f t="shared" si="3"/>
        <v>0</v>
      </c>
      <c r="N50" s="30">
        <f t="shared" si="3"/>
        <v>0</v>
      </c>
      <c r="O50" s="30">
        <f t="shared" si="3"/>
        <v>0</v>
      </c>
      <c r="P50" s="26"/>
    </row>
    <row r="51" spans="1:16" x14ac:dyDescent="0.4">
      <c r="A51" s="26"/>
      <c r="B51" s="29" t="s">
        <v>20</v>
      </c>
      <c r="C51" s="26">
        <v>4010</v>
      </c>
      <c r="D51" s="30">
        <f t="shared" ref="D51:O51" si="4">D7*$T$7</f>
        <v>0</v>
      </c>
      <c r="E51" s="30">
        <f t="shared" si="4"/>
        <v>0</v>
      </c>
      <c r="F51" s="30">
        <f t="shared" si="4"/>
        <v>0</v>
      </c>
      <c r="G51" s="30">
        <f t="shared" si="4"/>
        <v>0</v>
      </c>
      <c r="H51" s="30">
        <f t="shared" si="4"/>
        <v>0</v>
      </c>
      <c r="I51" s="30">
        <f t="shared" si="4"/>
        <v>0</v>
      </c>
      <c r="J51" s="30">
        <f t="shared" si="4"/>
        <v>0</v>
      </c>
      <c r="K51" s="30">
        <f t="shared" si="4"/>
        <v>0</v>
      </c>
      <c r="L51" s="30">
        <f t="shared" si="4"/>
        <v>0</v>
      </c>
      <c r="M51" s="30">
        <f t="shared" si="4"/>
        <v>0</v>
      </c>
      <c r="N51" s="30">
        <f t="shared" si="4"/>
        <v>0</v>
      </c>
      <c r="O51" s="30">
        <f t="shared" si="4"/>
        <v>0</v>
      </c>
      <c r="P51" s="26"/>
    </row>
    <row r="52" spans="1:16" x14ac:dyDescent="0.4">
      <c r="A52" s="26"/>
      <c r="B52" s="29" t="s">
        <v>21</v>
      </c>
      <c r="C52" s="26">
        <v>3800</v>
      </c>
      <c r="D52" s="30">
        <f t="shared" ref="D52:O52" si="5">D8*$T$8</f>
        <v>0</v>
      </c>
      <c r="E52" s="30">
        <f t="shared" si="5"/>
        <v>0</v>
      </c>
      <c r="F52" s="30">
        <f t="shared" si="5"/>
        <v>0</v>
      </c>
      <c r="G52" s="30">
        <f t="shared" si="5"/>
        <v>0</v>
      </c>
      <c r="H52" s="30">
        <f t="shared" si="5"/>
        <v>0</v>
      </c>
      <c r="I52" s="30">
        <f t="shared" si="5"/>
        <v>0</v>
      </c>
      <c r="J52" s="30">
        <f t="shared" si="5"/>
        <v>0</v>
      </c>
      <c r="K52" s="30">
        <f t="shared" si="5"/>
        <v>0</v>
      </c>
      <c r="L52" s="30">
        <f t="shared" si="5"/>
        <v>0</v>
      </c>
      <c r="M52" s="30">
        <f t="shared" si="5"/>
        <v>0</v>
      </c>
      <c r="N52" s="30">
        <f t="shared" si="5"/>
        <v>0</v>
      </c>
      <c r="O52" s="30">
        <f t="shared" si="5"/>
        <v>0</v>
      </c>
      <c r="P52" s="26"/>
    </row>
    <row r="53" spans="1:16" x14ac:dyDescent="0.4">
      <c r="A53" s="26"/>
      <c r="B53" s="29" t="s">
        <v>22</v>
      </c>
      <c r="C53" s="26">
        <v>3850</v>
      </c>
      <c r="D53" s="30">
        <f t="shared" ref="D53:O53" si="6">D9*$T$9</f>
        <v>0</v>
      </c>
      <c r="E53" s="30">
        <f t="shared" si="6"/>
        <v>0</v>
      </c>
      <c r="F53" s="30">
        <f t="shared" si="6"/>
        <v>0</v>
      </c>
      <c r="G53" s="30">
        <f t="shared" si="6"/>
        <v>0</v>
      </c>
      <c r="H53" s="30">
        <f t="shared" si="6"/>
        <v>0</v>
      </c>
      <c r="I53" s="30">
        <f t="shared" si="6"/>
        <v>0</v>
      </c>
      <c r="J53" s="30">
        <f t="shared" si="6"/>
        <v>0</v>
      </c>
      <c r="K53" s="30">
        <f t="shared" si="6"/>
        <v>0</v>
      </c>
      <c r="L53" s="30">
        <f t="shared" si="6"/>
        <v>0</v>
      </c>
      <c r="M53" s="30">
        <f t="shared" si="6"/>
        <v>0</v>
      </c>
      <c r="N53" s="30">
        <f t="shared" si="6"/>
        <v>0</v>
      </c>
      <c r="O53" s="30">
        <f t="shared" si="6"/>
        <v>0</v>
      </c>
      <c r="P53" s="26"/>
    </row>
    <row r="54" spans="1:16" x14ac:dyDescent="0.4">
      <c r="A54" s="26"/>
      <c r="B54" s="29" t="s">
        <v>23</v>
      </c>
      <c r="C54" s="26">
        <v>2630</v>
      </c>
      <c r="D54" s="30">
        <f t="shared" ref="D54:O54" si="7">D10*$T$10</f>
        <v>0</v>
      </c>
      <c r="E54" s="30">
        <f t="shared" si="7"/>
        <v>0</v>
      </c>
      <c r="F54" s="30">
        <f t="shared" si="7"/>
        <v>0</v>
      </c>
      <c r="G54" s="30">
        <f t="shared" si="7"/>
        <v>0</v>
      </c>
      <c r="H54" s="30">
        <f t="shared" si="7"/>
        <v>0</v>
      </c>
      <c r="I54" s="30">
        <f t="shared" si="7"/>
        <v>0</v>
      </c>
      <c r="J54" s="30">
        <f t="shared" si="7"/>
        <v>0</v>
      </c>
      <c r="K54" s="30">
        <f t="shared" si="7"/>
        <v>0</v>
      </c>
      <c r="L54" s="30">
        <f t="shared" si="7"/>
        <v>0</v>
      </c>
      <c r="M54" s="30">
        <f t="shared" si="7"/>
        <v>0</v>
      </c>
      <c r="N54" s="30">
        <f t="shared" si="7"/>
        <v>0</v>
      </c>
      <c r="O54" s="30">
        <f t="shared" si="7"/>
        <v>0</v>
      </c>
      <c r="P54" s="26"/>
    </row>
    <row r="55" spans="1:16" x14ac:dyDescent="0.4">
      <c r="A55" s="26"/>
      <c r="B55" s="29" t="s">
        <v>24</v>
      </c>
      <c r="C55" s="26">
        <v>4200</v>
      </c>
      <c r="D55" s="30">
        <f t="shared" ref="D55:O55" si="8">D11*$T$11</f>
        <v>0</v>
      </c>
      <c r="E55" s="30">
        <f t="shared" si="8"/>
        <v>0</v>
      </c>
      <c r="F55" s="30">
        <f t="shared" si="8"/>
        <v>0</v>
      </c>
      <c r="G55" s="30">
        <f t="shared" si="8"/>
        <v>0</v>
      </c>
      <c r="H55" s="30">
        <f t="shared" si="8"/>
        <v>0</v>
      </c>
      <c r="I55" s="30">
        <f t="shared" si="8"/>
        <v>0</v>
      </c>
      <c r="J55" s="30">
        <f t="shared" si="8"/>
        <v>0</v>
      </c>
      <c r="K55" s="30">
        <f t="shared" si="8"/>
        <v>0</v>
      </c>
      <c r="L55" s="30">
        <f t="shared" si="8"/>
        <v>0</v>
      </c>
      <c r="M55" s="30">
        <f t="shared" si="8"/>
        <v>0</v>
      </c>
      <c r="N55" s="30">
        <f t="shared" si="8"/>
        <v>0</v>
      </c>
      <c r="O55" s="30">
        <f t="shared" si="8"/>
        <v>0</v>
      </c>
      <c r="P55" s="30">
        <f>SUM(D47:O55)</f>
        <v>0</v>
      </c>
    </row>
    <row r="56" spans="1:16" x14ac:dyDescent="0.4">
      <c r="A56" s="1" t="s">
        <v>39</v>
      </c>
      <c r="B56" s="1" t="s">
        <v>37</v>
      </c>
      <c r="C56" s="1" t="s">
        <v>52</v>
      </c>
    </row>
    <row r="57" spans="1:16" x14ac:dyDescent="0.4">
      <c r="A57" s="31" t="s">
        <v>38</v>
      </c>
      <c r="B57" s="31"/>
      <c r="C57" s="31"/>
      <c r="D57" s="32" t="s">
        <v>3</v>
      </c>
      <c r="E57" s="32" t="s">
        <v>4</v>
      </c>
      <c r="F57" s="32" t="s">
        <v>5</v>
      </c>
      <c r="G57" s="32" t="s">
        <v>6</v>
      </c>
      <c r="H57" s="32" t="s">
        <v>7</v>
      </c>
      <c r="I57" s="32" t="s">
        <v>8</v>
      </c>
      <c r="J57" s="32" t="s">
        <v>9</v>
      </c>
      <c r="K57" s="32" t="s">
        <v>10</v>
      </c>
      <c r="L57" s="32" t="s">
        <v>11</v>
      </c>
      <c r="M57" s="32" t="s">
        <v>12</v>
      </c>
      <c r="N57" s="32" t="s">
        <v>13</v>
      </c>
      <c r="O57" s="32" t="s">
        <v>14</v>
      </c>
      <c r="P57" s="33" t="s">
        <v>15</v>
      </c>
    </row>
    <row r="58" spans="1:16" x14ac:dyDescent="0.4">
      <c r="A58" s="31"/>
      <c r="B58" s="34" t="s">
        <v>16</v>
      </c>
      <c r="C58" s="31">
        <v>3690</v>
      </c>
      <c r="D58" s="35">
        <f t="shared" ref="D58:O58" si="9">D15*$T$15</f>
        <v>0</v>
      </c>
      <c r="E58" s="35">
        <f t="shared" si="9"/>
        <v>0</v>
      </c>
      <c r="F58" s="35">
        <f t="shared" si="9"/>
        <v>0</v>
      </c>
      <c r="G58" s="35">
        <f t="shared" si="9"/>
        <v>0</v>
      </c>
      <c r="H58" s="35">
        <f t="shared" si="9"/>
        <v>0</v>
      </c>
      <c r="I58" s="35">
        <f t="shared" si="9"/>
        <v>0</v>
      </c>
      <c r="J58" s="35">
        <f t="shared" si="9"/>
        <v>0</v>
      </c>
      <c r="K58" s="35">
        <f t="shared" si="9"/>
        <v>0</v>
      </c>
      <c r="L58" s="35">
        <f t="shared" si="9"/>
        <v>0</v>
      </c>
      <c r="M58" s="35">
        <f t="shared" si="9"/>
        <v>0</v>
      </c>
      <c r="N58" s="35">
        <f t="shared" si="9"/>
        <v>0</v>
      </c>
      <c r="O58" s="35">
        <f t="shared" si="9"/>
        <v>0</v>
      </c>
      <c r="P58" s="31"/>
    </row>
    <row r="59" spans="1:16" x14ac:dyDescent="0.4">
      <c r="A59" s="31"/>
      <c r="B59" s="34" t="s">
        <v>17</v>
      </c>
      <c r="C59" s="31">
        <v>4130</v>
      </c>
      <c r="D59" s="35">
        <f t="shared" ref="D59:O59" si="10">D16*$T$16</f>
        <v>0</v>
      </c>
      <c r="E59" s="35">
        <f t="shared" si="10"/>
        <v>0</v>
      </c>
      <c r="F59" s="35">
        <f t="shared" si="10"/>
        <v>0</v>
      </c>
      <c r="G59" s="35">
        <f t="shared" si="10"/>
        <v>0</v>
      </c>
      <c r="H59" s="35">
        <f t="shared" si="10"/>
        <v>0</v>
      </c>
      <c r="I59" s="35">
        <f t="shared" si="10"/>
        <v>0</v>
      </c>
      <c r="J59" s="35">
        <f t="shared" si="10"/>
        <v>0</v>
      </c>
      <c r="K59" s="35">
        <f t="shared" si="10"/>
        <v>0</v>
      </c>
      <c r="L59" s="35">
        <f t="shared" si="10"/>
        <v>0</v>
      </c>
      <c r="M59" s="35">
        <f t="shared" si="10"/>
        <v>0</v>
      </c>
      <c r="N59" s="35">
        <f t="shared" si="10"/>
        <v>0</v>
      </c>
      <c r="O59" s="35">
        <f t="shared" si="10"/>
        <v>0</v>
      </c>
      <c r="P59" s="31"/>
    </row>
    <row r="60" spans="1:16" x14ac:dyDescent="0.4">
      <c r="A60" s="31"/>
      <c r="B60" s="34" t="s">
        <v>18</v>
      </c>
      <c r="C60" s="31">
        <v>6750</v>
      </c>
      <c r="D60" s="35">
        <f t="shared" ref="D60:O60" si="11">D17*$T$17</f>
        <v>0</v>
      </c>
      <c r="E60" s="35">
        <f t="shared" si="11"/>
        <v>0</v>
      </c>
      <c r="F60" s="35">
        <f t="shared" si="11"/>
        <v>0</v>
      </c>
      <c r="G60" s="35">
        <f t="shared" si="11"/>
        <v>0</v>
      </c>
      <c r="H60" s="35">
        <f t="shared" si="11"/>
        <v>0</v>
      </c>
      <c r="I60" s="35">
        <f t="shared" si="11"/>
        <v>0</v>
      </c>
      <c r="J60" s="35">
        <f t="shared" si="11"/>
        <v>0</v>
      </c>
      <c r="K60" s="35">
        <f t="shared" si="11"/>
        <v>0</v>
      </c>
      <c r="L60" s="35">
        <f t="shared" si="11"/>
        <v>0</v>
      </c>
      <c r="M60" s="35">
        <f t="shared" si="11"/>
        <v>0</v>
      </c>
      <c r="N60" s="35">
        <f t="shared" si="11"/>
        <v>0</v>
      </c>
      <c r="O60" s="35">
        <f t="shared" si="11"/>
        <v>0</v>
      </c>
      <c r="P60" s="31"/>
    </row>
    <row r="61" spans="1:16" x14ac:dyDescent="0.4">
      <c r="A61" s="31"/>
      <c r="B61" s="34" t="s">
        <v>19</v>
      </c>
      <c r="C61" s="31">
        <v>4200</v>
      </c>
      <c r="D61" s="35">
        <f t="shared" ref="D61:O61" si="12">D18*$T$18</f>
        <v>0</v>
      </c>
      <c r="E61" s="35">
        <f t="shared" si="12"/>
        <v>0</v>
      </c>
      <c r="F61" s="35">
        <f t="shared" si="12"/>
        <v>0</v>
      </c>
      <c r="G61" s="35">
        <f t="shared" si="12"/>
        <v>0</v>
      </c>
      <c r="H61" s="35">
        <f t="shared" si="12"/>
        <v>0</v>
      </c>
      <c r="I61" s="35">
        <f t="shared" si="12"/>
        <v>0</v>
      </c>
      <c r="J61" s="35">
        <f t="shared" si="12"/>
        <v>0</v>
      </c>
      <c r="K61" s="35">
        <f t="shared" si="12"/>
        <v>0</v>
      </c>
      <c r="L61" s="35">
        <f t="shared" si="12"/>
        <v>0</v>
      </c>
      <c r="M61" s="35">
        <f t="shared" si="12"/>
        <v>0</v>
      </c>
      <c r="N61" s="35">
        <f t="shared" si="12"/>
        <v>0</v>
      </c>
      <c r="O61" s="35">
        <f t="shared" si="12"/>
        <v>0</v>
      </c>
      <c r="P61" s="31"/>
    </row>
    <row r="62" spans="1:16" x14ac:dyDescent="0.4">
      <c r="A62" s="31"/>
      <c r="B62" s="34" t="s">
        <v>20</v>
      </c>
      <c r="C62" s="31">
        <v>4010</v>
      </c>
      <c r="D62" s="35">
        <f t="shared" ref="D62:O62" si="13">D19*$T$19</f>
        <v>0</v>
      </c>
      <c r="E62" s="35">
        <f t="shared" si="13"/>
        <v>0</v>
      </c>
      <c r="F62" s="35">
        <f t="shared" si="13"/>
        <v>0</v>
      </c>
      <c r="G62" s="35">
        <f t="shared" si="13"/>
        <v>0</v>
      </c>
      <c r="H62" s="35">
        <f t="shared" si="13"/>
        <v>0</v>
      </c>
      <c r="I62" s="35">
        <f t="shared" si="13"/>
        <v>0</v>
      </c>
      <c r="J62" s="35">
        <f t="shared" si="13"/>
        <v>0</v>
      </c>
      <c r="K62" s="35">
        <f t="shared" si="13"/>
        <v>0</v>
      </c>
      <c r="L62" s="35">
        <f t="shared" si="13"/>
        <v>0</v>
      </c>
      <c r="M62" s="35">
        <f t="shared" si="13"/>
        <v>0</v>
      </c>
      <c r="N62" s="35">
        <f t="shared" si="13"/>
        <v>0</v>
      </c>
      <c r="O62" s="35">
        <f t="shared" si="13"/>
        <v>0</v>
      </c>
      <c r="P62" s="31"/>
    </row>
    <row r="63" spans="1:16" x14ac:dyDescent="0.4">
      <c r="A63" s="31"/>
      <c r="B63" s="34" t="s">
        <v>21</v>
      </c>
      <c r="C63" s="31">
        <v>3800</v>
      </c>
      <c r="D63" s="35">
        <f t="shared" ref="D63:O63" si="14">D20*$T$20</f>
        <v>0</v>
      </c>
      <c r="E63" s="35">
        <f t="shared" si="14"/>
        <v>0</v>
      </c>
      <c r="F63" s="35">
        <f t="shared" si="14"/>
        <v>0</v>
      </c>
      <c r="G63" s="35">
        <f t="shared" si="14"/>
        <v>0</v>
      </c>
      <c r="H63" s="35">
        <f t="shared" si="14"/>
        <v>0</v>
      </c>
      <c r="I63" s="35">
        <f t="shared" si="14"/>
        <v>0</v>
      </c>
      <c r="J63" s="35">
        <f t="shared" si="14"/>
        <v>0</v>
      </c>
      <c r="K63" s="35">
        <f t="shared" si="14"/>
        <v>0</v>
      </c>
      <c r="L63" s="35">
        <f t="shared" si="14"/>
        <v>0</v>
      </c>
      <c r="M63" s="35">
        <f t="shared" si="14"/>
        <v>0</v>
      </c>
      <c r="N63" s="35">
        <f t="shared" si="14"/>
        <v>0</v>
      </c>
      <c r="O63" s="35">
        <f t="shared" si="14"/>
        <v>0</v>
      </c>
      <c r="P63" s="31"/>
    </row>
    <row r="64" spans="1:16" x14ac:dyDescent="0.4">
      <c r="A64" s="31"/>
      <c r="B64" s="34" t="s">
        <v>22</v>
      </c>
      <c r="C64" s="31">
        <v>3850</v>
      </c>
      <c r="D64" s="35">
        <f t="shared" ref="D64:O64" si="15">D21*$T$21</f>
        <v>0</v>
      </c>
      <c r="E64" s="35">
        <f t="shared" si="15"/>
        <v>0</v>
      </c>
      <c r="F64" s="35">
        <f t="shared" si="15"/>
        <v>0</v>
      </c>
      <c r="G64" s="35">
        <f t="shared" si="15"/>
        <v>0</v>
      </c>
      <c r="H64" s="35">
        <f t="shared" si="15"/>
        <v>0</v>
      </c>
      <c r="I64" s="35">
        <f t="shared" si="15"/>
        <v>0</v>
      </c>
      <c r="J64" s="35">
        <f t="shared" si="15"/>
        <v>0</v>
      </c>
      <c r="K64" s="35">
        <f t="shared" si="15"/>
        <v>0</v>
      </c>
      <c r="L64" s="35">
        <f t="shared" si="15"/>
        <v>0</v>
      </c>
      <c r="M64" s="35">
        <f t="shared" si="15"/>
        <v>0</v>
      </c>
      <c r="N64" s="35">
        <f t="shared" si="15"/>
        <v>0</v>
      </c>
      <c r="O64" s="35">
        <f t="shared" si="15"/>
        <v>0</v>
      </c>
      <c r="P64" s="31"/>
    </row>
    <row r="65" spans="1:16" x14ac:dyDescent="0.4">
      <c r="A65" s="31"/>
      <c r="B65" s="34" t="s">
        <v>23</v>
      </c>
      <c r="C65" s="31">
        <v>2630</v>
      </c>
      <c r="D65" s="35">
        <f t="shared" ref="D65:O65" si="16">D22*$T$22</f>
        <v>0</v>
      </c>
      <c r="E65" s="35">
        <f t="shared" si="16"/>
        <v>0</v>
      </c>
      <c r="F65" s="35">
        <f t="shared" si="16"/>
        <v>0</v>
      </c>
      <c r="G65" s="35">
        <f t="shared" si="16"/>
        <v>0</v>
      </c>
      <c r="H65" s="35">
        <f t="shared" si="16"/>
        <v>0</v>
      </c>
      <c r="I65" s="35">
        <f t="shared" si="16"/>
        <v>0</v>
      </c>
      <c r="J65" s="35">
        <f t="shared" si="16"/>
        <v>0</v>
      </c>
      <c r="K65" s="35">
        <f t="shared" si="16"/>
        <v>0</v>
      </c>
      <c r="L65" s="35">
        <f t="shared" si="16"/>
        <v>0</v>
      </c>
      <c r="M65" s="35">
        <f t="shared" si="16"/>
        <v>0</v>
      </c>
      <c r="N65" s="35">
        <f t="shared" si="16"/>
        <v>0</v>
      </c>
      <c r="O65" s="35">
        <f t="shared" si="16"/>
        <v>0</v>
      </c>
      <c r="P65" s="31"/>
    </row>
    <row r="66" spans="1:16" x14ac:dyDescent="0.4">
      <c r="A66" s="31"/>
      <c r="B66" s="34" t="s">
        <v>24</v>
      </c>
      <c r="C66" s="31">
        <v>4200</v>
      </c>
      <c r="D66" s="35">
        <f t="shared" ref="D66:O66" si="17">D23*$T$23</f>
        <v>0</v>
      </c>
      <c r="E66" s="35">
        <f t="shared" si="17"/>
        <v>0</v>
      </c>
      <c r="F66" s="35">
        <f t="shared" si="17"/>
        <v>0</v>
      </c>
      <c r="G66" s="35">
        <f t="shared" si="17"/>
        <v>0</v>
      </c>
      <c r="H66" s="35">
        <f t="shared" si="17"/>
        <v>0</v>
      </c>
      <c r="I66" s="35">
        <f t="shared" si="17"/>
        <v>0</v>
      </c>
      <c r="J66" s="35">
        <f t="shared" si="17"/>
        <v>0</v>
      </c>
      <c r="K66" s="35">
        <f t="shared" si="17"/>
        <v>0</v>
      </c>
      <c r="L66" s="35">
        <f t="shared" si="17"/>
        <v>0</v>
      </c>
      <c r="M66" s="35">
        <f t="shared" si="17"/>
        <v>0</v>
      </c>
      <c r="N66" s="35">
        <f t="shared" si="17"/>
        <v>0</v>
      </c>
      <c r="O66" s="35">
        <f t="shared" si="17"/>
        <v>0</v>
      </c>
      <c r="P66" s="35">
        <f>SUM(D58:O66)</f>
        <v>0</v>
      </c>
    </row>
    <row r="67" spans="1:16" x14ac:dyDescent="0.4">
      <c r="A67" s="1" t="s">
        <v>29</v>
      </c>
      <c r="B67" s="1" t="s">
        <v>37</v>
      </c>
      <c r="C67" s="1" t="s">
        <v>52</v>
      </c>
    </row>
    <row r="68" spans="1:16" x14ac:dyDescent="0.4">
      <c r="A68" s="15" t="s">
        <v>38</v>
      </c>
      <c r="B68" s="15"/>
      <c r="C68" s="15"/>
      <c r="D68" s="17" t="s">
        <v>3</v>
      </c>
      <c r="E68" s="17" t="s">
        <v>4</v>
      </c>
      <c r="F68" s="17" t="s">
        <v>5</v>
      </c>
      <c r="G68" s="17" t="s">
        <v>6</v>
      </c>
      <c r="H68" s="17" t="s">
        <v>7</v>
      </c>
      <c r="I68" s="17" t="s">
        <v>8</v>
      </c>
      <c r="J68" s="17" t="s">
        <v>9</v>
      </c>
      <c r="K68" s="17" t="s">
        <v>10</v>
      </c>
      <c r="L68" s="17" t="s">
        <v>11</v>
      </c>
      <c r="M68" s="17" t="s">
        <v>12</v>
      </c>
      <c r="N68" s="17" t="s">
        <v>13</v>
      </c>
      <c r="O68" s="17" t="s">
        <v>14</v>
      </c>
      <c r="P68" s="16" t="s">
        <v>15</v>
      </c>
    </row>
    <row r="69" spans="1:16" x14ac:dyDescent="0.4">
      <c r="A69" s="15"/>
      <c r="B69" s="18" t="s">
        <v>16</v>
      </c>
      <c r="C69" s="15">
        <v>3690</v>
      </c>
      <c r="D69" s="19">
        <f t="shared" ref="D69:O69" si="18">D27*$T$27</f>
        <v>0</v>
      </c>
      <c r="E69" s="19">
        <f t="shared" si="18"/>
        <v>0</v>
      </c>
      <c r="F69" s="19">
        <f t="shared" si="18"/>
        <v>0</v>
      </c>
      <c r="G69" s="19">
        <f t="shared" si="18"/>
        <v>0</v>
      </c>
      <c r="H69" s="19">
        <f t="shared" si="18"/>
        <v>0</v>
      </c>
      <c r="I69" s="19">
        <f t="shared" si="18"/>
        <v>0</v>
      </c>
      <c r="J69" s="19">
        <f t="shared" si="18"/>
        <v>0</v>
      </c>
      <c r="K69" s="19">
        <f t="shared" si="18"/>
        <v>0</v>
      </c>
      <c r="L69" s="19">
        <f t="shared" si="18"/>
        <v>0</v>
      </c>
      <c r="M69" s="19">
        <f t="shared" si="18"/>
        <v>0</v>
      </c>
      <c r="N69" s="19">
        <f t="shared" si="18"/>
        <v>0</v>
      </c>
      <c r="O69" s="19">
        <f t="shared" si="18"/>
        <v>0</v>
      </c>
      <c r="P69" s="15"/>
    </row>
    <row r="70" spans="1:16" x14ac:dyDescent="0.4">
      <c r="A70" s="15"/>
      <c r="B70" s="18" t="s">
        <v>17</v>
      </c>
      <c r="C70" s="15">
        <v>4130</v>
      </c>
      <c r="D70" s="19">
        <f t="shared" ref="D70:O70" si="19">D28*$T$28</f>
        <v>0</v>
      </c>
      <c r="E70" s="19">
        <f t="shared" si="19"/>
        <v>0</v>
      </c>
      <c r="F70" s="19">
        <f t="shared" si="19"/>
        <v>0</v>
      </c>
      <c r="G70" s="19">
        <f t="shared" si="19"/>
        <v>0</v>
      </c>
      <c r="H70" s="19">
        <f t="shared" si="19"/>
        <v>0</v>
      </c>
      <c r="I70" s="19">
        <f t="shared" si="19"/>
        <v>0</v>
      </c>
      <c r="J70" s="19">
        <f t="shared" si="19"/>
        <v>0</v>
      </c>
      <c r="K70" s="19">
        <f t="shared" si="19"/>
        <v>0</v>
      </c>
      <c r="L70" s="19">
        <f t="shared" si="19"/>
        <v>0</v>
      </c>
      <c r="M70" s="19">
        <f t="shared" si="19"/>
        <v>0</v>
      </c>
      <c r="N70" s="19">
        <f t="shared" si="19"/>
        <v>0</v>
      </c>
      <c r="O70" s="19">
        <f t="shared" si="19"/>
        <v>0</v>
      </c>
      <c r="P70" s="15"/>
    </row>
    <row r="71" spans="1:16" x14ac:dyDescent="0.4">
      <c r="A71" s="15"/>
      <c r="B71" s="18" t="s">
        <v>18</v>
      </c>
      <c r="C71" s="15">
        <v>6750</v>
      </c>
      <c r="D71" s="19">
        <f t="shared" ref="D71:O71" si="20">D29*$T$29</f>
        <v>0</v>
      </c>
      <c r="E71" s="19">
        <f t="shared" si="20"/>
        <v>0</v>
      </c>
      <c r="F71" s="19">
        <f t="shared" si="20"/>
        <v>0</v>
      </c>
      <c r="G71" s="19">
        <f t="shared" si="20"/>
        <v>0</v>
      </c>
      <c r="H71" s="19">
        <f t="shared" si="20"/>
        <v>0</v>
      </c>
      <c r="I71" s="19">
        <f t="shared" si="20"/>
        <v>0</v>
      </c>
      <c r="J71" s="19">
        <f t="shared" si="20"/>
        <v>0</v>
      </c>
      <c r="K71" s="19">
        <f t="shared" si="20"/>
        <v>0</v>
      </c>
      <c r="L71" s="19">
        <f t="shared" si="20"/>
        <v>0</v>
      </c>
      <c r="M71" s="19">
        <f t="shared" si="20"/>
        <v>0</v>
      </c>
      <c r="N71" s="19">
        <f t="shared" si="20"/>
        <v>0</v>
      </c>
      <c r="O71" s="19">
        <f t="shared" si="20"/>
        <v>0</v>
      </c>
      <c r="P71" s="15"/>
    </row>
    <row r="72" spans="1:16" x14ac:dyDescent="0.4">
      <c r="A72" s="15"/>
      <c r="B72" s="18" t="s">
        <v>19</v>
      </c>
      <c r="C72" s="15">
        <v>4200</v>
      </c>
      <c r="D72" s="19">
        <f t="shared" ref="D72:O72" si="21">D30*$T$30</f>
        <v>0</v>
      </c>
      <c r="E72" s="19">
        <f t="shared" si="21"/>
        <v>0</v>
      </c>
      <c r="F72" s="19">
        <f t="shared" si="21"/>
        <v>0</v>
      </c>
      <c r="G72" s="19">
        <f t="shared" si="21"/>
        <v>0</v>
      </c>
      <c r="H72" s="19">
        <f t="shared" si="21"/>
        <v>0</v>
      </c>
      <c r="I72" s="19">
        <f t="shared" si="21"/>
        <v>0</v>
      </c>
      <c r="J72" s="19">
        <f t="shared" si="21"/>
        <v>0</v>
      </c>
      <c r="K72" s="19">
        <f t="shared" si="21"/>
        <v>0</v>
      </c>
      <c r="L72" s="19">
        <f t="shared" si="21"/>
        <v>0</v>
      </c>
      <c r="M72" s="19">
        <f t="shared" si="21"/>
        <v>0</v>
      </c>
      <c r="N72" s="19">
        <f t="shared" si="21"/>
        <v>0</v>
      </c>
      <c r="O72" s="19">
        <f t="shared" si="21"/>
        <v>0</v>
      </c>
      <c r="P72" s="15"/>
    </row>
    <row r="73" spans="1:16" x14ac:dyDescent="0.4">
      <c r="A73" s="15"/>
      <c r="B73" s="18" t="s">
        <v>20</v>
      </c>
      <c r="C73" s="15">
        <v>4010</v>
      </c>
      <c r="D73" s="19">
        <f t="shared" ref="D73:O73" si="22">D31*$T$31</f>
        <v>0</v>
      </c>
      <c r="E73" s="19">
        <f t="shared" si="22"/>
        <v>0</v>
      </c>
      <c r="F73" s="19">
        <f t="shared" si="22"/>
        <v>0</v>
      </c>
      <c r="G73" s="19">
        <f t="shared" si="22"/>
        <v>0</v>
      </c>
      <c r="H73" s="19">
        <f t="shared" si="22"/>
        <v>0</v>
      </c>
      <c r="I73" s="19">
        <f t="shared" si="22"/>
        <v>0</v>
      </c>
      <c r="J73" s="19">
        <f t="shared" si="22"/>
        <v>0</v>
      </c>
      <c r="K73" s="19">
        <f t="shared" si="22"/>
        <v>0</v>
      </c>
      <c r="L73" s="19">
        <f t="shared" si="22"/>
        <v>0</v>
      </c>
      <c r="M73" s="19">
        <f t="shared" si="22"/>
        <v>0</v>
      </c>
      <c r="N73" s="19">
        <f t="shared" si="22"/>
        <v>0</v>
      </c>
      <c r="O73" s="19">
        <f t="shared" si="22"/>
        <v>0</v>
      </c>
      <c r="P73" s="15"/>
    </row>
    <row r="74" spans="1:16" x14ac:dyDescent="0.4">
      <c r="A74" s="15"/>
      <c r="B74" s="18" t="s">
        <v>21</v>
      </c>
      <c r="C74" s="15">
        <v>3800</v>
      </c>
      <c r="D74" s="19">
        <f t="shared" ref="D74:O74" si="23">D32*$T$32</f>
        <v>0</v>
      </c>
      <c r="E74" s="19">
        <f t="shared" si="23"/>
        <v>0</v>
      </c>
      <c r="F74" s="19">
        <f t="shared" si="23"/>
        <v>0</v>
      </c>
      <c r="G74" s="19">
        <f t="shared" si="23"/>
        <v>0</v>
      </c>
      <c r="H74" s="19">
        <f t="shared" si="23"/>
        <v>0</v>
      </c>
      <c r="I74" s="19">
        <f t="shared" si="23"/>
        <v>0</v>
      </c>
      <c r="J74" s="19">
        <f t="shared" si="23"/>
        <v>0</v>
      </c>
      <c r="K74" s="19">
        <f t="shared" si="23"/>
        <v>0</v>
      </c>
      <c r="L74" s="19">
        <f t="shared" si="23"/>
        <v>0</v>
      </c>
      <c r="M74" s="19">
        <f t="shared" si="23"/>
        <v>0</v>
      </c>
      <c r="N74" s="19">
        <f t="shared" si="23"/>
        <v>0</v>
      </c>
      <c r="O74" s="19">
        <f t="shared" si="23"/>
        <v>0</v>
      </c>
      <c r="P74" s="15"/>
    </row>
    <row r="75" spans="1:16" x14ac:dyDescent="0.4">
      <c r="A75" s="15"/>
      <c r="B75" s="18" t="s">
        <v>22</v>
      </c>
      <c r="C75" s="15">
        <v>3850</v>
      </c>
      <c r="D75" s="19">
        <f t="shared" ref="D75:O75" si="24">D33*$T$33</f>
        <v>0</v>
      </c>
      <c r="E75" s="19">
        <f t="shared" si="24"/>
        <v>0</v>
      </c>
      <c r="F75" s="19">
        <f t="shared" si="24"/>
        <v>0</v>
      </c>
      <c r="G75" s="19">
        <f t="shared" si="24"/>
        <v>0</v>
      </c>
      <c r="H75" s="19">
        <f t="shared" si="24"/>
        <v>0</v>
      </c>
      <c r="I75" s="19">
        <f t="shared" si="24"/>
        <v>0</v>
      </c>
      <c r="J75" s="19">
        <f t="shared" si="24"/>
        <v>0</v>
      </c>
      <c r="K75" s="19">
        <f t="shared" si="24"/>
        <v>0</v>
      </c>
      <c r="L75" s="19">
        <f t="shared" si="24"/>
        <v>0</v>
      </c>
      <c r="M75" s="19">
        <f t="shared" si="24"/>
        <v>0</v>
      </c>
      <c r="N75" s="19">
        <f t="shared" si="24"/>
        <v>0</v>
      </c>
      <c r="O75" s="19">
        <f t="shared" si="24"/>
        <v>0</v>
      </c>
      <c r="P75" s="15"/>
    </row>
    <row r="76" spans="1:16" x14ac:dyDescent="0.4">
      <c r="A76" s="15"/>
      <c r="B76" s="18" t="s">
        <v>23</v>
      </c>
      <c r="C76" s="15">
        <v>2630</v>
      </c>
      <c r="D76" s="19">
        <f t="shared" ref="D76:O76" si="25">D34*$T$34</f>
        <v>0</v>
      </c>
      <c r="E76" s="19">
        <f t="shared" si="25"/>
        <v>0</v>
      </c>
      <c r="F76" s="19">
        <f t="shared" si="25"/>
        <v>0</v>
      </c>
      <c r="G76" s="19">
        <f t="shared" si="25"/>
        <v>0</v>
      </c>
      <c r="H76" s="19">
        <f t="shared" si="25"/>
        <v>0</v>
      </c>
      <c r="I76" s="19">
        <f t="shared" si="25"/>
        <v>0</v>
      </c>
      <c r="J76" s="19">
        <f t="shared" si="25"/>
        <v>0</v>
      </c>
      <c r="K76" s="19">
        <f t="shared" si="25"/>
        <v>0</v>
      </c>
      <c r="L76" s="19">
        <f t="shared" si="25"/>
        <v>0</v>
      </c>
      <c r="M76" s="19">
        <f t="shared" si="25"/>
        <v>0</v>
      </c>
      <c r="N76" s="19">
        <f t="shared" si="25"/>
        <v>0</v>
      </c>
      <c r="O76" s="19">
        <f t="shared" si="25"/>
        <v>0</v>
      </c>
      <c r="P76" s="15"/>
    </row>
    <row r="77" spans="1:16" x14ac:dyDescent="0.4">
      <c r="A77" s="15"/>
      <c r="B77" s="18" t="s">
        <v>24</v>
      </c>
      <c r="C77" s="15">
        <v>4200</v>
      </c>
      <c r="D77" s="19">
        <f t="shared" ref="D77:O77" si="26">D35*$T$35</f>
        <v>0</v>
      </c>
      <c r="E77" s="19">
        <f t="shared" si="26"/>
        <v>0</v>
      </c>
      <c r="F77" s="19">
        <f t="shared" si="26"/>
        <v>0</v>
      </c>
      <c r="G77" s="19">
        <f t="shared" si="26"/>
        <v>0</v>
      </c>
      <c r="H77" s="19">
        <f t="shared" si="26"/>
        <v>0</v>
      </c>
      <c r="I77" s="19">
        <f t="shared" si="26"/>
        <v>0</v>
      </c>
      <c r="J77" s="19">
        <f t="shared" si="26"/>
        <v>0</v>
      </c>
      <c r="K77" s="19">
        <f t="shared" si="26"/>
        <v>0</v>
      </c>
      <c r="L77" s="19">
        <f t="shared" si="26"/>
        <v>0</v>
      </c>
      <c r="M77" s="19">
        <f t="shared" si="26"/>
        <v>0</v>
      </c>
      <c r="N77" s="19">
        <f t="shared" si="26"/>
        <v>0</v>
      </c>
      <c r="O77" s="19">
        <f t="shared" si="26"/>
        <v>0</v>
      </c>
      <c r="P77" s="19">
        <f>SUM(D69:O77)</f>
        <v>0</v>
      </c>
    </row>
    <row r="78" spans="1:16" x14ac:dyDescent="0.4">
      <c r="A78" s="15" t="s">
        <v>29</v>
      </c>
      <c r="B78" s="15" t="s">
        <v>28</v>
      </c>
      <c r="C78" s="15">
        <v>3800</v>
      </c>
      <c r="D78" s="19">
        <f t="shared" ref="D78:O78" si="27">D36*$T$36</f>
        <v>0</v>
      </c>
      <c r="E78" s="19">
        <f t="shared" si="27"/>
        <v>0</v>
      </c>
      <c r="F78" s="19">
        <f t="shared" si="27"/>
        <v>0</v>
      </c>
      <c r="G78" s="19">
        <f t="shared" si="27"/>
        <v>0</v>
      </c>
      <c r="H78" s="19">
        <f t="shared" si="27"/>
        <v>0</v>
      </c>
      <c r="I78" s="19">
        <f t="shared" si="27"/>
        <v>0</v>
      </c>
      <c r="J78" s="19">
        <f t="shared" si="27"/>
        <v>0</v>
      </c>
      <c r="K78" s="19">
        <f t="shared" si="27"/>
        <v>0</v>
      </c>
      <c r="L78" s="19">
        <f t="shared" si="27"/>
        <v>0</v>
      </c>
      <c r="M78" s="19">
        <f t="shared" si="27"/>
        <v>0</v>
      </c>
      <c r="N78" s="19">
        <f t="shared" si="27"/>
        <v>0</v>
      </c>
      <c r="O78" s="19">
        <f t="shared" si="27"/>
        <v>0</v>
      </c>
      <c r="P78" s="19">
        <f>P36*O36</f>
        <v>0</v>
      </c>
    </row>
    <row r="79" spans="1:16" x14ac:dyDescent="0.4">
      <c r="A79" s="15"/>
      <c r="B79" s="15" t="s">
        <v>30</v>
      </c>
      <c r="C79" s="15">
        <v>3200</v>
      </c>
      <c r="D79" s="19">
        <f t="shared" ref="D79:O79" si="28">D37*$T$37</f>
        <v>0</v>
      </c>
      <c r="E79" s="19">
        <f t="shared" si="28"/>
        <v>0</v>
      </c>
      <c r="F79" s="19">
        <f t="shared" si="28"/>
        <v>0</v>
      </c>
      <c r="G79" s="19">
        <f t="shared" si="28"/>
        <v>0</v>
      </c>
      <c r="H79" s="19">
        <f t="shared" si="28"/>
        <v>0</v>
      </c>
      <c r="I79" s="19">
        <f t="shared" si="28"/>
        <v>0</v>
      </c>
      <c r="J79" s="19">
        <f t="shared" si="28"/>
        <v>0</v>
      </c>
      <c r="K79" s="19">
        <f t="shared" si="28"/>
        <v>0</v>
      </c>
      <c r="L79" s="19">
        <f t="shared" si="28"/>
        <v>0</v>
      </c>
      <c r="M79" s="19">
        <f t="shared" si="28"/>
        <v>0</v>
      </c>
      <c r="N79" s="19">
        <f t="shared" si="28"/>
        <v>0</v>
      </c>
      <c r="O79" s="19">
        <f t="shared" si="28"/>
        <v>0</v>
      </c>
      <c r="P79" s="19">
        <f>P37*O37</f>
        <v>0</v>
      </c>
    </row>
    <row r="80" spans="1:16" x14ac:dyDescent="0.4">
      <c r="A80" s="15"/>
      <c r="B80" s="15" t="s">
        <v>31</v>
      </c>
      <c r="C80" s="15">
        <v>10000</v>
      </c>
      <c r="D80" s="19">
        <f t="shared" ref="D80:O82" si="29">D38*$T$38</f>
        <v>0</v>
      </c>
      <c r="E80" s="19">
        <f t="shared" si="29"/>
        <v>0</v>
      </c>
      <c r="F80" s="19">
        <f t="shared" si="29"/>
        <v>0</v>
      </c>
      <c r="G80" s="19">
        <f t="shared" si="29"/>
        <v>0</v>
      </c>
      <c r="H80" s="19">
        <f t="shared" si="29"/>
        <v>0</v>
      </c>
      <c r="I80" s="19">
        <f t="shared" si="29"/>
        <v>0</v>
      </c>
      <c r="J80" s="19">
        <f t="shared" si="29"/>
        <v>0</v>
      </c>
      <c r="K80" s="19">
        <f t="shared" si="29"/>
        <v>0</v>
      </c>
      <c r="L80" s="19">
        <f t="shared" si="29"/>
        <v>0</v>
      </c>
      <c r="M80" s="19">
        <f t="shared" si="29"/>
        <v>0</v>
      </c>
      <c r="N80" s="19">
        <f t="shared" si="29"/>
        <v>0</v>
      </c>
      <c r="O80" s="19">
        <f t="shared" si="29"/>
        <v>0</v>
      </c>
      <c r="P80" s="19">
        <f>P38*O38</f>
        <v>0</v>
      </c>
    </row>
    <row r="81" spans="1:16" x14ac:dyDescent="0.4">
      <c r="A81" s="15" t="s">
        <v>32</v>
      </c>
      <c r="B81" s="15" t="s">
        <v>28</v>
      </c>
      <c r="C81" s="15">
        <v>3800</v>
      </c>
      <c r="D81" s="19">
        <f t="shared" si="29"/>
        <v>0</v>
      </c>
      <c r="E81" s="19">
        <f t="shared" si="29"/>
        <v>0</v>
      </c>
      <c r="F81" s="19">
        <f t="shared" si="29"/>
        <v>0</v>
      </c>
      <c r="G81" s="19">
        <f t="shared" si="29"/>
        <v>0</v>
      </c>
      <c r="H81" s="19">
        <f t="shared" si="29"/>
        <v>0</v>
      </c>
      <c r="I81" s="19">
        <f t="shared" si="29"/>
        <v>0</v>
      </c>
      <c r="J81" s="19">
        <f t="shared" si="29"/>
        <v>0</v>
      </c>
      <c r="K81" s="19">
        <f t="shared" si="29"/>
        <v>0</v>
      </c>
      <c r="L81" s="19">
        <f t="shared" si="29"/>
        <v>0</v>
      </c>
      <c r="M81" s="19">
        <f t="shared" si="29"/>
        <v>0</v>
      </c>
      <c r="N81" s="19">
        <f t="shared" si="29"/>
        <v>0</v>
      </c>
      <c r="O81" s="19">
        <f t="shared" si="29"/>
        <v>0</v>
      </c>
      <c r="P81" s="19"/>
    </row>
    <row r="82" spans="1:16" x14ac:dyDescent="0.4">
      <c r="A82" s="15"/>
      <c r="B82" s="15" t="s">
        <v>30</v>
      </c>
      <c r="C82" s="15">
        <v>3200</v>
      </c>
      <c r="D82" s="19">
        <f t="shared" si="29"/>
        <v>0</v>
      </c>
      <c r="E82" s="19">
        <f t="shared" si="29"/>
        <v>0</v>
      </c>
      <c r="F82" s="19">
        <f t="shared" si="29"/>
        <v>0</v>
      </c>
      <c r="G82" s="19">
        <f t="shared" si="29"/>
        <v>0</v>
      </c>
      <c r="H82" s="19">
        <f t="shared" si="29"/>
        <v>0</v>
      </c>
      <c r="I82" s="19">
        <f t="shared" si="29"/>
        <v>0</v>
      </c>
      <c r="J82" s="19">
        <f t="shared" si="29"/>
        <v>0</v>
      </c>
      <c r="K82" s="19">
        <f t="shared" si="29"/>
        <v>0</v>
      </c>
      <c r="L82" s="19">
        <f t="shared" si="29"/>
        <v>0</v>
      </c>
      <c r="M82" s="19">
        <f t="shared" si="29"/>
        <v>0</v>
      </c>
      <c r="N82" s="19">
        <f t="shared" si="29"/>
        <v>0</v>
      </c>
      <c r="O82" s="19">
        <f t="shared" si="29"/>
        <v>0</v>
      </c>
      <c r="P82" s="19"/>
    </row>
    <row r="83" spans="1:16" x14ac:dyDescent="0.4">
      <c r="B83" s="15"/>
      <c r="C83" s="15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</row>
    <row r="84" spans="1:16" x14ac:dyDescent="0.4">
      <c r="B84" s="15"/>
      <c r="C84" s="15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</row>
    <row r="85" spans="1:16" x14ac:dyDescent="0.4">
      <c r="A85" s="1" t="s">
        <v>40</v>
      </c>
      <c r="B85" s="1" t="s">
        <v>37</v>
      </c>
      <c r="C85" s="1" t="s">
        <v>52</v>
      </c>
    </row>
    <row r="86" spans="1:16" x14ac:dyDescent="0.4">
      <c r="A86" s="36" t="s">
        <v>38</v>
      </c>
      <c r="B86" s="36"/>
      <c r="C86" s="36"/>
      <c r="D86" s="37" t="s">
        <v>3</v>
      </c>
      <c r="E86" s="37" t="s">
        <v>4</v>
      </c>
      <c r="F86" s="37" t="s">
        <v>5</v>
      </c>
      <c r="G86" s="37" t="s">
        <v>6</v>
      </c>
      <c r="H86" s="37" t="s">
        <v>7</v>
      </c>
      <c r="I86" s="37" t="s">
        <v>8</v>
      </c>
      <c r="J86" s="37" t="s">
        <v>9</v>
      </c>
      <c r="K86" s="37" t="s">
        <v>10</v>
      </c>
      <c r="L86" s="37" t="s">
        <v>11</v>
      </c>
      <c r="M86" s="37" t="s">
        <v>12</v>
      </c>
      <c r="N86" s="37" t="s">
        <v>13</v>
      </c>
      <c r="O86" s="37" t="s">
        <v>14</v>
      </c>
      <c r="P86" s="38" t="s">
        <v>15</v>
      </c>
    </row>
    <row r="87" spans="1:16" x14ac:dyDescent="0.4">
      <c r="A87" s="36"/>
      <c r="B87" s="39" t="s">
        <v>16</v>
      </c>
      <c r="C87" s="36">
        <v>3690</v>
      </c>
      <c r="D87" s="40">
        <f t="shared" ref="D87:O95" si="30">D47-D58+D69</f>
        <v>0</v>
      </c>
      <c r="E87" s="40">
        <f t="shared" si="30"/>
        <v>0</v>
      </c>
      <c r="F87" s="40">
        <f t="shared" si="30"/>
        <v>0</v>
      </c>
      <c r="G87" s="40">
        <f t="shared" si="30"/>
        <v>0</v>
      </c>
      <c r="H87" s="40">
        <f t="shared" si="30"/>
        <v>0</v>
      </c>
      <c r="I87" s="40">
        <f t="shared" si="30"/>
        <v>0</v>
      </c>
      <c r="J87" s="40">
        <f t="shared" si="30"/>
        <v>0</v>
      </c>
      <c r="K87" s="40">
        <f t="shared" si="30"/>
        <v>0</v>
      </c>
      <c r="L87" s="40">
        <f t="shared" si="30"/>
        <v>0</v>
      </c>
      <c r="M87" s="40">
        <f t="shared" si="30"/>
        <v>0</v>
      </c>
      <c r="N87" s="40">
        <f t="shared" si="30"/>
        <v>0</v>
      </c>
      <c r="O87" s="40">
        <f t="shared" si="30"/>
        <v>0</v>
      </c>
      <c r="P87" s="36"/>
    </row>
    <row r="88" spans="1:16" x14ac:dyDescent="0.4">
      <c r="A88" s="36"/>
      <c r="B88" s="39" t="s">
        <v>17</v>
      </c>
      <c r="C88" s="36">
        <v>4130</v>
      </c>
      <c r="D88" s="40">
        <f t="shared" si="30"/>
        <v>0</v>
      </c>
      <c r="E88" s="40">
        <f t="shared" si="30"/>
        <v>0</v>
      </c>
      <c r="F88" s="40">
        <f t="shared" si="30"/>
        <v>0</v>
      </c>
      <c r="G88" s="40">
        <f t="shared" si="30"/>
        <v>0</v>
      </c>
      <c r="H88" s="40">
        <f t="shared" si="30"/>
        <v>0</v>
      </c>
      <c r="I88" s="40">
        <f t="shared" si="30"/>
        <v>0</v>
      </c>
      <c r="J88" s="40">
        <f t="shared" si="30"/>
        <v>0</v>
      </c>
      <c r="K88" s="40">
        <f t="shared" si="30"/>
        <v>0</v>
      </c>
      <c r="L88" s="40">
        <f t="shared" si="30"/>
        <v>0</v>
      </c>
      <c r="M88" s="40">
        <f t="shared" si="30"/>
        <v>0</v>
      </c>
      <c r="N88" s="40">
        <f t="shared" si="30"/>
        <v>0</v>
      </c>
      <c r="O88" s="40">
        <f t="shared" si="30"/>
        <v>0</v>
      </c>
      <c r="P88" s="36"/>
    </row>
    <row r="89" spans="1:16" x14ac:dyDescent="0.4">
      <c r="A89" s="36"/>
      <c r="B89" s="39" t="s">
        <v>18</v>
      </c>
      <c r="C89" s="36">
        <v>6750</v>
      </c>
      <c r="D89" s="40">
        <f t="shared" si="30"/>
        <v>0</v>
      </c>
      <c r="E89" s="40">
        <f t="shared" si="30"/>
        <v>0</v>
      </c>
      <c r="F89" s="40">
        <f t="shared" si="30"/>
        <v>0</v>
      </c>
      <c r="G89" s="40">
        <f t="shared" si="30"/>
        <v>0</v>
      </c>
      <c r="H89" s="40">
        <f t="shared" si="30"/>
        <v>0</v>
      </c>
      <c r="I89" s="40">
        <f t="shared" si="30"/>
        <v>0</v>
      </c>
      <c r="J89" s="40">
        <f t="shared" si="30"/>
        <v>0</v>
      </c>
      <c r="K89" s="40">
        <f t="shared" si="30"/>
        <v>0</v>
      </c>
      <c r="L89" s="40">
        <f t="shared" si="30"/>
        <v>0</v>
      </c>
      <c r="M89" s="40">
        <f t="shared" si="30"/>
        <v>0</v>
      </c>
      <c r="N89" s="40">
        <f t="shared" si="30"/>
        <v>0</v>
      </c>
      <c r="O89" s="40">
        <f t="shared" si="30"/>
        <v>0</v>
      </c>
      <c r="P89" s="36"/>
    </row>
    <row r="90" spans="1:16" x14ac:dyDescent="0.4">
      <c r="A90" s="36"/>
      <c r="B90" s="39" t="s">
        <v>19</v>
      </c>
      <c r="C90" s="36">
        <v>4200</v>
      </c>
      <c r="D90" s="40">
        <f t="shared" si="30"/>
        <v>0</v>
      </c>
      <c r="E90" s="40">
        <f t="shared" si="30"/>
        <v>0</v>
      </c>
      <c r="F90" s="40">
        <f t="shared" si="30"/>
        <v>0</v>
      </c>
      <c r="G90" s="40">
        <f t="shared" si="30"/>
        <v>0</v>
      </c>
      <c r="H90" s="40">
        <f t="shared" si="30"/>
        <v>0</v>
      </c>
      <c r="I90" s="40">
        <f t="shared" si="30"/>
        <v>0</v>
      </c>
      <c r="J90" s="40">
        <f t="shared" si="30"/>
        <v>0</v>
      </c>
      <c r="K90" s="40">
        <f t="shared" si="30"/>
        <v>0</v>
      </c>
      <c r="L90" s="40">
        <f t="shared" si="30"/>
        <v>0</v>
      </c>
      <c r="M90" s="40">
        <f t="shared" si="30"/>
        <v>0</v>
      </c>
      <c r="N90" s="40">
        <f t="shared" si="30"/>
        <v>0</v>
      </c>
      <c r="O90" s="40">
        <f t="shared" si="30"/>
        <v>0</v>
      </c>
      <c r="P90" s="36"/>
    </row>
    <row r="91" spans="1:16" x14ac:dyDescent="0.4">
      <c r="A91" s="36"/>
      <c r="B91" s="39" t="s">
        <v>20</v>
      </c>
      <c r="C91" s="36">
        <v>4010</v>
      </c>
      <c r="D91" s="40">
        <f t="shared" si="30"/>
        <v>0</v>
      </c>
      <c r="E91" s="40">
        <f t="shared" si="30"/>
        <v>0</v>
      </c>
      <c r="F91" s="40">
        <f t="shared" si="30"/>
        <v>0</v>
      </c>
      <c r="G91" s="40">
        <f t="shared" si="30"/>
        <v>0</v>
      </c>
      <c r="H91" s="40">
        <f t="shared" si="30"/>
        <v>0</v>
      </c>
      <c r="I91" s="40">
        <f t="shared" si="30"/>
        <v>0</v>
      </c>
      <c r="J91" s="40">
        <f t="shared" si="30"/>
        <v>0</v>
      </c>
      <c r="K91" s="40">
        <f t="shared" si="30"/>
        <v>0</v>
      </c>
      <c r="L91" s="40">
        <f t="shared" si="30"/>
        <v>0</v>
      </c>
      <c r="M91" s="40">
        <f t="shared" si="30"/>
        <v>0</v>
      </c>
      <c r="N91" s="40">
        <f t="shared" si="30"/>
        <v>0</v>
      </c>
      <c r="O91" s="40">
        <f t="shared" si="30"/>
        <v>0</v>
      </c>
      <c r="P91" s="36"/>
    </row>
    <row r="92" spans="1:16" x14ac:dyDescent="0.4">
      <c r="A92" s="36"/>
      <c r="B92" s="39" t="s">
        <v>21</v>
      </c>
      <c r="C92" s="36">
        <v>3800</v>
      </c>
      <c r="D92" s="40">
        <f t="shared" si="30"/>
        <v>0</v>
      </c>
      <c r="E92" s="40">
        <f t="shared" si="30"/>
        <v>0</v>
      </c>
      <c r="F92" s="40">
        <f t="shared" si="30"/>
        <v>0</v>
      </c>
      <c r="G92" s="40">
        <f t="shared" si="30"/>
        <v>0</v>
      </c>
      <c r="H92" s="40">
        <f t="shared" si="30"/>
        <v>0</v>
      </c>
      <c r="I92" s="40">
        <f t="shared" si="30"/>
        <v>0</v>
      </c>
      <c r="J92" s="40">
        <f t="shared" si="30"/>
        <v>0</v>
      </c>
      <c r="K92" s="40">
        <f t="shared" si="30"/>
        <v>0</v>
      </c>
      <c r="L92" s="40">
        <f t="shared" si="30"/>
        <v>0</v>
      </c>
      <c r="M92" s="40">
        <f t="shared" si="30"/>
        <v>0</v>
      </c>
      <c r="N92" s="40">
        <f t="shared" si="30"/>
        <v>0</v>
      </c>
      <c r="O92" s="40">
        <f t="shared" si="30"/>
        <v>0</v>
      </c>
      <c r="P92" s="36"/>
    </row>
    <row r="93" spans="1:16" x14ac:dyDescent="0.4">
      <c r="A93" s="36"/>
      <c r="B93" s="39" t="s">
        <v>22</v>
      </c>
      <c r="C93" s="36">
        <v>3850</v>
      </c>
      <c r="D93" s="40">
        <f t="shared" si="30"/>
        <v>0</v>
      </c>
      <c r="E93" s="40">
        <f t="shared" si="30"/>
        <v>0</v>
      </c>
      <c r="F93" s="40">
        <f t="shared" si="30"/>
        <v>0</v>
      </c>
      <c r="G93" s="40">
        <f t="shared" si="30"/>
        <v>0</v>
      </c>
      <c r="H93" s="40">
        <f t="shared" si="30"/>
        <v>0</v>
      </c>
      <c r="I93" s="40">
        <f t="shared" si="30"/>
        <v>0</v>
      </c>
      <c r="J93" s="40">
        <f t="shared" si="30"/>
        <v>0</v>
      </c>
      <c r="K93" s="40">
        <f t="shared" si="30"/>
        <v>0</v>
      </c>
      <c r="L93" s="40">
        <f t="shared" si="30"/>
        <v>0</v>
      </c>
      <c r="M93" s="40">
        <f t="shared" si="30"/>
        <v>0</v>
      </c>
      <c r="N93" s="40">
        <f t="shared" si="30"/>
        <v>0</v>
      </c>
      <c r="O93" s="40">
        <f t="shared" si="30"/>
        <v>0</v>
      </c>
      <c r="P93" s="36"/>
    </row>
    <row r="94" spans="1:16" x14ac:dyDescent="0.4">
      <c r="A94" s="36"/>
      <c r="B94" s="39" t="s">
        <v>23</v>
      </c>
      <c r="C94" s="36">
        <v>2630</v>
      </c>
      <c r="D94" s="40">
        <f t="shared" si="30"/>
        <v>0</v>
      </c>
      <c r="E94" s="40">
        <f t="shared" si="30"/>
        <v>0</v>
      </c>
      <c r="F94" s="40">
        <f t="shared" si="30"/>
        <v>0</v>
      </c>
      <c r="G94" s="40">
        <f t="shared" si="30"/>
        <v>0</v>
      </c>
      <c r="H94" s="40">
        <f t="shared" si="30"/>
        <v>0</v>
      </c>
      <c r="I94" s="40">
        <f t="shared" si="30"/>
        <v>0</v>
      </c>
      <c r="J94" s="40">
        <f t="shared" si="30"/>
        <v>0</v>
      </c>
      <c r="K94" s="40">
        <f t="shared" si="30"/>
        <v>0</v>
      </c>
      <c r="L94" s="40">
        <f t="shared" si="30"/>
        <v>0</v>
      </c>
      <c r="M94" s="40">
        <f t="shared" si="30"/>
        <v>0</v>
      </c>
      <c r="N94" s="40">
        <f t="shared" si="30"/>
        <v>0</v>
      </c>
      <c r="O94" s="40">
        <f t="shared" si="30"/>
        <v>0</v>
      </c>
      <c r="P94" s="36"/>
    </row>
    <row r="95" spans="1:16" x14ac:dyDescent="0.4">
      <c r="A95" s="36"/>
      <c r="B95" s="39" t="s">
        <v>24</v>
      </c>
      <c r="C95" s="36">
        <v>4200</v>
      </c>
      <c r="D95" s="40">
        <f t="shared" si="30"/>
        <v>0</v>
      </c>
      <c r="E95" s="40">
        <f t="shared" si="30"/>
        <v>0</v>
      </c>
      <c r="F95" s="40">
        <f t="shared" si="30"/>
        <v>0</v>
      </c>
      <c r="G95" s="40">
        <f t="shared" si="30"/>
        <v>0</v>
      </c>
      <c r="H95" s="40">
        <f t="shared" si="30"/>
        <v>0</v>
      </c>
      <c r="I95" s="40">
        <f t="shared" si="30"/>
        <v>0</v>
      </c>
      <c r="J95" s="40">
        <f t="shared" si="30"/>
        <v>0</v>
      </c>
      <c r="K95" s="40">
        <f t="shared" si="30"/>
        <v>0</v>
      </c>
      <c r="L95" s="40">
        <f t="shared" si="30"/>
        <v>0</v>
      </c>
      <c r="M95" s="40">
        <f t="shared" si="30"/>
        <v>0</v>
      </c>
      <c r="N95" s="40">
        <f t="shared" si="30"/>
        <v>0</v>
      </c>
      <c r="O95" s="40">
        <f t="shared" si="30"/>
        <v>0</v>
      </c>
      <c r="P95" s="40">
        <f>SUM(D87:O95)</f>
        <v>0</v>
      </c>
    </row>
    <row r="96" spans="1:16" x14ac:dyDescent="0.4">
      <c r="A96" s="15" t="s">
        <v>29</v>
      </c>
      <c r="B96" s="15" t="s">
        <v>28</v>
      </c>
      <c r="C96" s="15">
        <v>3800</v>
      </c>
      <c r="D96" s="19">
        <f>D78</f>
        <v>0</v>
      </c>
      <c r="E96" s="19">
        <f t="shared" ref="E96:O96" si="31">E78</f>
        <v>0</v>
      </c>
      <c r="F96" s="19">
        <f t="shared" si="31"/>
        <v>0</v>
      </c>
      <c r="G96" s="19">
        <f t="shared" si="31"/>
        <v>0</v>
      </c>
      <c r="H96" s="19">
        <f t="shared" si="31"/>
        <v>0</v>
      </c>
      <c r="I96" s="19">
        <f t="shared" si="31"/>
        <v>0</v>
      </c>
      <c r="J96" s="19">
        <f t="shared" si="31"/>
        <v>0</v>
      </c>
      <c r="K96" s="19">
        <f t="shared" si="31"/>
        <v>0</v>
      </c>
      <c r="L96" s="19">
        <f t="shared" si="31"/>
        <v>0</v>
      </c>
      <c r="M96" s="19">
        <f t="shared" si="31"/>
        <v>0</v>
      </c>
      <c r="N96" s="19">
        <f t="shared" si="31"/>
        <v>0</v>
      </c>
      <c r="O96" s="19">
        <f t="shared" si="31"/>
        <v>0</v>
      </c>
      <c r="P96" s="19">
        <f>P54*O54</f>
        <v>0</v>
      </c>
    </row>
    <row r="97" spans="1:16" x14ac:dyDescent="0.4">
      <c r="A97" s="15"/>
      <c r="B97" s="15" t="s">
        <v>30</v>
      </c>
      <c r="C97" s="15">
        <v>3200</v>
      </c>
      <c r="D97" s="19">
        <f t="shared" ref="D97:O100" si="32">D79</f>
        <v>0</v>
      </c>
      <c r="E97" s="19">
        <f t="shared" si="32"/>
        <v>0</v>
      </c>
      <c r="F97" s="19">
        <f t="shared" si="32"/>
        <v>0</v>
      </c>
      <c r="G97" s="19">
        <f t="shared" si="32"/>
        <v>0</v>
      </c>
      <c r="H97" s="19">
        <f t="shared" si="32"/>
        <v>0</v>
      </c>
      <c r="I97" s="19">
        <f t="shared" si="32"/>
        <v>0</v>
      </c>
      <c r="J97" s="19">
        <f t="shared" si="32"/>
        <v>0</v>
      </c>
      <c r="K97" s="19">
        <f t="shared" si="32"/>
        <v>0</v>
      </c>
      <c r="L97" s="19">
        <f t="shared" si="32"/>
        <v>0</v>
      </c>
      <c r="M97" s="19">
        <f t="shared" si="32"/>
        <v>0</v>
      </c>
      <c r="N97" s="19">
        <f t="shared" si="32"/>
        <v>0</v>
      </c>
      <c r="O97" s="19">
        <f t="shared" si="32"/>
        <v>0</v>
      </c>
      <c r="P97" s="19"/>
    </row>
    <row r="98" spans="1:16" x14ac:dyDescent="0.4">
      <c r="A98" s="15"/>
      <c r="B98" s="15" t="s">
        <v>31</v>
      </c>
      <c r="C98" s="15">
        <v>10000</v>
      </c>
      <c r="D98" s="19">
        <f t="shared" si="32"/>
        <v>0</v>
      </c>
      <c r="E98" s="19">
        <f t="shared" si="32"/>
        <v>0</v>
      </c>
      <c r="F98" s="19">
        <f t="shared" si="32"/>
        <v>0</v>
      </c>
      <c r="G98" s="19">
        <f t="shared" si="32"/>
        <v>0</v>
      </c>
      <c r="H98" s="19">
        <f t="shared" si="32"/>
        <v>0</v>
      </c>
      <c r="I98" s="19">
        <f t="shared" si="32"/>
        <v>0</v>
      </c>
      <c r="J98" s="19">
        <f t="shared" si="32"/>
        <v>0</v>
      </c>
      <c r="K98" s="19">
        <f t="shared" si="32"/>
        <v>0</v>
      </c>
      <c r="L98" s="19">
        <f t="shared" si="32"/>
        <v>0</v>
      </c>
      <c r="M98" s="19">
        <f t="shared" si="32"/>
        <v>0</v>
      </c>
      <c r="N98" s="19">
        <f t="shared" si="32"/>
        <v>0</v>
      </c>
      <c r="O98" s="19">
        <f t="shared" si="32"/>
        <v>0</v>
      </c>
      <c r="P98" s="19">
        <f>P56*O56</f>
        <v>0</v>
      </c>
    </row>
    <row r="99" spans="1:16" x14ac:dyDescent="0.4">
      <c r="A99" s="15" t="s">
        <v>32</v>
      </c>
      <c r="B99" s="15" t="s">
        <v>28</v>
      </c>
      <c r="C99" s="15">
        <v>3800</v>
      </c>
      <c r="D99" s="19">
        <f t="shared" si="32"/>
        <v>0</v>
      </c>
      <c r="E99" s="19">
        <f t="shared" si="32"/>
        <v>0</v>
      </c>
      <c r="F99" s="19">
        <f t="shared" si="32"/>
        <v>0</v>
      </c>
      <c r="G99" s="19">
        <f t="shared" si="32"/>
        <v>0</v>
      </c>
      <c r="H99" s="19">
        <f t="shared" si="32"/>
        <v>0</v>
      </c>
      <c r="I99" s="19">
        <f t="shared" si="32"/>
        <v>0</v>
      </c>
      <c r="J99" s="19">
        <f t="shared" si="32"/>
        <v>0</v>
      </c>
      <c r="K99" s="19">
        <f t="shared" si="32"/>
        <v>0</v>
      </c>
      <c r="L99" s="19">
        <f t="shared" si="32"/>
        <v>0</v>
      </c>
      <c r="M99" s="19">
        <f t="shared" si="32"/>
        <v>0</v>
      </c>
      <c r="N99" s="19">
        <f t="shared" si="32"/>
        <v>0</v>
      </c>
      <c r="O99" s="19">
        <f t="shared" si="32"/>
        <v>0</v>
      </c>
      <c r="P99" s="19"/>
    </row>
    <row r="100" spans="1:16" x14ac:dyDescent="0.4">
      <c r="A100" s="15"/>
      <c r="B100" s="15" t="s">
        <v>30</v>
      </c>
      <c r="C100" s="15">
        <v>3200</v>
      </c>
      <c r="D100" s="19">
        <f t="shared" si="32"/>
        <v>0</v>
      </c>
      <c r="E100" s="19">
        <f t="shared" si="32"/>
        <v>0</v>
      </c>
      <c r="F100" s="19">
        <f t="shared" si="32"/>
        <v>0</v>
      </c>
      <c r="G100" s="19">
        <f t="shared" si="32"/>
        <v>0</v>
      </c>
      <c r="H100" s="19">
        <f t="shared" si="32"/>
        <v>0</v>
      </c>
      <c r="I100" s="19">
        <f t="shared" si="32"/>
        <v>0</v>
      </c>
      <c r="J100" s="19">
        <f t="shared" si="32"/>
        <v>0</v>
      </c>
      <c r="K100" s="19">
        <f t="shared" si="32"/>
        <v>0</v>
      </c>
      <c r="L100" s="19">
        <f t="shared" si="32"/>
        <v>0</v>
      </c>
      <c r="M100" s="19">
        <f t="shared" si="32"/>
        <v>0</v>
      </c>
      <c r="N100" s="19">
        <f t="shared" si="32"/>
        <v>0</v>
      </c>
      <c r="O100" s="19">
        <f t="shared" si="32"/>
        <v>0</v>
      </c>
      <c r="P100" s="19">
        <f>SUM(D87:O100)</f>
        <v>0</v>
      </c>
    </row>
    <row r="102" spans="1:16" x14ac:dyDescent="0.4">
      <c r="A102" t="s">
        <v>41</v>
      </c>
      <c r="B102" t="s">
        <v>17</v>
      </c>
      <c r="D102" s="3">
        <v>330400</v>
      </c>
      <c r="E102" s="3">
        <v>330400</v>
      </c>
      <c r="F102" s="3">
        <v>330400</v>
      </c>
      <c r="G102" s="3">
        <v>330400</v>
      </c>
      <c r="H102" s="3">
        <v>330400</v>
      </c>
      <c r="I102" s="3">
        <v>330400</v>
      </c>
      <c r="J102" s="3">
        <v>330400</v>
      </c>
      <c r="K102" s="3">
        <v>330400</v>
      </c>
      <c r="L102" s="3">
        <v>330400</v>
      </c>
      <c r="M102" s="3">
        <v>330400</v>
      </c>
      <c r="N102" s="3">
        <v>330400</v>
      </c>
      <c r="O102" s="3">
        <v>330400</v>
      </c>
      <c r="P102" s="3">
        <f>SUM(C102:O102)</f>
        <v>3964800</v>
      </c>
    </row>
    <row r="103" spans="1:16" x14ac:dyDescent="0.4">
      <c r="A103" t="s">
        <v>42</v>
      </c>
      <c r="B103" t="s">
        <v>43</v>
      </c>
      <c r="D103" s="3">
        <v>731500</v>
      </c>
      <c r="E103" s="3">
        <v>731500</v>
      </c>
      <c r="F103" s="3">
        <v>731500</v>
      </c>
      <c r="G103" s="3">
        <v>731500</v>
      </c>
      <c r="H103" s="3">
        <v>404250</v>
      </c>
      <c r="I103" s="3">
        <v>327250</v>
      </c>
      <c r="J103" s="3">
        <v>327250</v>
      </c>
      <c r="K103" s="3">
        <v>327250</v>
      </c>
      <c r="L103" s="3">
        <v>327250</v>
      </c>
      <c r="M103" s="3">
        <v>211750</v>
      </c>
      <c r="N103" s="3">
        <v>211750</v>
      </c>
      <c r="O103" s="3">
        <v>211750</v>
      </c>
      <c r="P103" s="3"/>
    </row>
    <row r="104" spans="1:16" x14ac:dyDescent="0.4">
      <c r="A104"/>
      <c r="B104" t="s">
        <v>44</v>
      </c>
      <c r="D104" s="3">
        <v>280700</v>
      </c>
      <c r="E104" s="3">
        <v>280700</v>
      </c>
      <c r="F104" s="3">
        <v>280700</v>
      </c>
      <c r="G104" s="3">
        <v>280700</v>
      </c>
      <c r="H104" s="3">
        <v>280700</v>
      </c>
      <c r="I104" s="3">
        <v>280700</v>
      </c>
      <c r="J104" s="3">
        <v>280700</v>
      </c>
      <c r="K104" s="3">
        <v>280700</v>
      </c>
      <c r="L104" s="3">
        <v>280700</v>
      </c>
      <c r="M104" s="3">
        <v>280700</v>
      </c>
      <c r="N104" s="3">
        <v>280700</v>
      </c>
      <c r="O104" s="3">
        <v>280700</v>
      </c>
      <c r="P104" s="3"/>
    </row>
    <row r="105" spans="1:16" x14ac:dyDescent="0.4">
      <c r="A105"/>
      <c r="B105" t="s">
        <v>21</v>
      </c>
      <c r="D105" s="3">
        <v>513000</v>
      </c>
      <c r="E105" s="3">
        <v>513000</v>
      </c>
      <c r="F105" s="3">
        <v>513000</v>
      </c>
      <c r="G105" s="3">
        <v>513000</v>
      </c>
      <c r="H105" s="3">
        <v>513000</v>
      </c>
      <c r="I105" s="3">
        <v>513000</v>
      </c>
      <c r="J105" s="3">
        <v>513000</v>
      </c>
      <c r="K105" s="3">
        <v>513000</v>
      </c>
      <c r="L105" s="3">
        <v>513000</v>
      </c>
      <c r="M105" s="3">
        <v>513000</v>
      </c>
      <c r="N105" s="3">
        <v>513000</v>
      </c>
      <c r="O105" s="3">
        <v>513000</v>
      </c>
      <c r="P105" s="3"/>
    </row>
    <row r="106" spans="1:16" x14ac:dyDescent="0.4">
      <c r="D106" s="3">
        <f>SUM(D103:D105)</f>
        <v>1525200</v>
      </c>
      <c r="E106" s="3">
        <f t="shared" ref="E106:N106" si="33">SUM(E103:E105)</f>
        <v>1525200</v>
      </c>
      <c r="F106" s="3">
        <f t="shared" si="33"/>
        <v>1525200</v>
      </c>
      <c r="G106" s="3">
        <f t="shared" si="33"/>
        <v>1525200</v>
      </c>
      <c r="H106" s="3">
        <f t="shared" si="33"/>
        <v>1197950</v>
      </c>
      <c r="I106" s="3">
        <f t="shared" si="33"/>
        <v>1120950</v>
      </c>
      <c r="J106" s="3">
        <f t="shared" si="33"/>
        <v>1120950</v>
      </c>
      <c r="K106" s="3">
        <f t="shared" si="33"/>
        <v>1120950</v>
      </c>
      <c r="L106" s="3">
        <f t="shared" si="33"/>
        <v>1120950</v>
      </c>
      <c r="M106" s="3">
        <f t="shared" si="33"/>
        <v>1005450</v>
      </c>
      <c r="N106" s="3">
        <f t="shared" si="33"/>
        <v>1005450</v>
      </c>
      <c r="O106" s="3">
        <f>SUM(O103:O105)</f>
        <v>1005450</v>
      </c>
      <c r="P106" s="41">
        <f>SUM(D106:O106)</f>
        <v>14798900</v>
      </c>
    </row>
    <row r="107" spans="1:16" x14ac:dyDescent="0.4">
      <c r="A107" t="s">
        <v>45</v>
      </c>
      <c r="B107" t="s">
        <v>43</v>
      </c>
      <c r="D107" s="3">
        <v>263000</v>
      </c>
      <c r="E107" s="3">
        <v>263000</v>
      </c>
      <c r="F107" s="3">
        <v>263000</v>
      </c>
      <c r="G107" s="3">
        <v>263000</v>
      </c>
      <c r="H107" s="3">
        <v>263000</v>
      </c>
      <c r="I107" s="3">
        <v>263000</v>
      </c>
      <c r="J107" s="3">
        <v>263000</v>
      </c>
      <c r="K107" s="3">
        <v>263000</v>
      </c>
      <c r="L107" s="3">
        <v>263000</v>
      </c>
      <c r="M107" s="3">
        <v>263000</v>
      </c>
      <c r="N107" s="3">
        <v>263000</v>
      </c>
      <c r="O107" s="3">
        <v>263000</v>
      </c>
      <c r="P107" s="3">
        <f>SUM(D107:O107)</f>
        <v>3156000</v>
      </c>
    </row>
    <row r="108" spans="1:16" x14ac:dyDescent="0.4">
      <c r="A108" t="s">
        <v>46</v>
      </c>
      <c r="B108"/>
      <c r="P108" s="3"/>
    </row>
    <row r="109" spans="1:16" x14ac:dyDescent="0.4">
      <c r="A109" t="s">
        <v>47</v>
      </c>
      <c r="B109" t="s">
        <v>48</v>
      </c>
      <c r="D109" s="3">
        <v>75600</v>
      </c>
      <c r="P109" s="3">
        <f>SUM(D109:O109)</f>
        <v>75600</v>
      </c>
    </row>
    <row r="110" spans="1:16" x14ac:dyDescent="0.4">
      <c r="A110"/>
      <c r="B110" t="s">
        <v>49</v>
      </c>
    </row>
    <row r="111" spans="1:16" x14ac:dyDescent="0.4">
      <c r="A111"/>
      <c r="B111" t="s">
        <v>50</v>
      </c>
    </row>
    <row r="112" spans="1:16" x14ac:dyDescent="0.4">
      <c r="A112" s="1" t="s">
        <v>29</v>
      </c>
      <c r="B112" s="1" t="s">
        <v>28</v>
      </c>
      <c r="D112" s="3">
        <v>0</v>
      </c>
      <c r="E112" s="3">
        <v>0</v>
      </c>
      <c r="F112" s="3">
        <v>0</v>
      </c>
      <c r="G112" s="3">
        <v>91200</v>
      </c>
      <c r="H112" s="3">
        <v>91200</v>
      </c>
      <c r="I112" s="3">
        <v>91200</v>
      </c>
      <c r="J112" s="3">
        <v>91200</v>
      </c>
      <c r="K112" s="3">
        <v>91200</v>
      </c>
      <c r="L112" s="3">
        <v>91200</v>
      </c>
      <c r="M112" s="3">
        <v>91200</v>
      </c>
      <c r="N112" s="3">
        <v>91200</v>
      </c>
      <c r="O112" s="3">
        <v>91200</v>
      </c>
      <c r="P112" s="3">
        <f>SUM(C112:O112)</f>
        <v>820800</v>
      </c>
    </row>
    <row r="113" spans="1:16" x14ac:dyDescent="0.4">
      <c r="A113" s="1" t="s">
        <v>32</v>
      </c>
      <c r="B113" s="1" t="s">
        <v>28</v>
      </c>
      <c r="D113" s="3">
        <v>0</v>
      </c>
      <c r="E113" s="3">
        <v>700000</v>
      </c>
      <c r="F113" s="3">
        <v>700000</v>
      </c>
      <c r="G113" s="3">
        <v>700000</v>
      </c>
      <c r="H113" s="3">
        <v>700000</v>
      </c>
      <c r="I113" s="3">
        <v>800000</v>
      </c>
      <c r="J113" s="3">
        <v>800000</v>
      </c>
      <c r="K113" s="3">
        <v>800000</v>
      </c>
      <c r="L113" s="3">
        <v>800000</v>
      </c>
      <c r="M113" s="3">
        <v>800000</v>
      </c>
      <c r="N113" s="3">
        <v>800000</v>
      </c>
      <c r="O113" s="3">
        <v>800000</v>
      </c>
      <c r="P113" s="3">
        <f>SUM(C113:O113)</f>
        <v>8400000</v>
      </c>
    </row>
    <row r="114" spans="1:16" x14ac:dyDescent="0.4">
      <c r="P114" s="3"/>
    </row>
    <row r="115" spans="1:16" x14ac:dyDescent="0.4">
      <c r="B115" s="1" t="s">
        <v>30</v>
      </c>
      <c r="D115" s="3">
        <v>0</v>
      </c>
      <c r="E115" s="3">
        <v>0</v>
      </c>
      <c r="F115" s="3">
        <v>0</v>
      </c>
      <c r="G115" s="3">
        <v>19200</v>
      </c>
      <c r="H115" s="3">
        <v>19200</v>
      </c>
      <c r="I115" s="3">
        <v>19200</v>
      </c>
      <c r="J115" s="3">
        <v>19200</v>
      </c>
      <c r="K115" s="3">
        <v>19200</v>
      </c>
      <c r="L115" s="3">
        <v>19200</v>
      </c>
      <c r="M115" s="3">
        <v>19200</v>
      </c>
      <c r="N115" s="3">
        <v>19200</v>
      </c>
      <c r="O115" s="3">
        <v>19200</v>
      </c>
      <c r="P115" s="3">
        <f>SUM(C115:O115)</f>
        <v>172800</v>
      </c>
    </row>
    <row r="116" spans="1:16" x14ac:dyDescent="0.4">
      <c r="B116" s="1" t="s">
        <v>30</v>
      </c>
      <c r="D116" s="3">
        <v>0</v>
      </c>
      <c r="E116" s="3">
        <v>100000</v>
      </c>
      <c r="F116" s="3">
        <v>100000</v>
      </c>
      <c r="G116" s="3">
        <v>100000</v>
      </c>
      <c r="H116" s="3">
        <v>100000</v>
      </c>
      <c r="I116" s="3">
        <v>200000</v>
      </c>
      <c r="J116" s="3">
        <v>200000</v>
      </c>
      <c r="K116" s="3">
        <v>200000</v>
      </c>
      <c r="L116" s="3">
        <v>200000</v>
      </c>
      <c r="M116" s="3">
        <v>200000</v>
      </c>
      <c r="N116" s="3">
        <v>200000</v>
      </c>
      <c r="O116" s="3">
        <v>200000</v>
      </c>
      <c r="P116" s="3">
        <f>SUM(C116:O116)</f>
        <v>1800000</v>
      </c>
    </row>
    <row r="117" spans="1:16" x14ac:dyDescent="0.4">
      <c r="P117" s="3"/>
    </row>
    <row r="118" spans="1:16" x14ac:dyDescent="0.4">
      <c r="B118" s="1" t="s">
        <v>31</v>
      </c>
      <c r="D118" s="3">
        <v>200000</v>
      </c>
      <c r="E118" s="3">
        <v>200000</v>
      </c>
      <c r="F118" s="3">
        <v>200000</v>
      </c>
      <c r="G118" s="3">
        <v>200000</v>
      </c>
      <c r="H118" s="3">
        <v>200000</v>
      </c>
      <c r="I118" s="3">
        <v>200000</v>
      </c>
      <c r="J118" s="3">
        <v>200000</v>
      </c>
      <c r="K118" s="3">
        <v>200000</v>
      </c>
      <c r="L118" s="3">
        <v>200000</v>
      </c>
      <c r="M118" s="3">
        <v>200000</v>
      </c>
      <c r="N118" s="3">
        <v>200000</v>
      </c>
      <c r="O118" s="3">
        <v>200000</v>
      </c>
      <c r="P118" s="3">
        <f>SUM(D118:O118)</f>
        <v>2400000</v>
      </c>
    </row>
    <row r="120" spans="1:16" x14ac:dyDescent="0.4">
      <c r="A120" s="1" t="s">
        <v>51</v>
      </c>
    </row>
    <row r="121" spans="1:16" x14ac:dyDescent="0.4">
      <c r="A121" s="1" t="s">
        <v>29</v>
      </c>
      <c r="B121" s="1" t="s">
        <v>28</v>
      </c>
      <c r="C121" s="1">
        <v>4000</v>
      </c>
      <c r="D121" s="3">
        <f>$T$121*$U$36</f>
        <v>0</v>
      </c>
      <c r="E121" s="3">
        <f>$T$121*$V$36</f>
        <v>0</v>
      </c>
      <c r="F121" s="3">
        <f>$T$121*$W$36</f>
        <v>0</v>
      </c>
      <c r="G121" s="3">
        <f>$T$121*$X$36</f>
        <v>0</v>
      </c>
      <c r="H121" s="3">
        <f>$T$121*$Y$36</f>
        <v>0</v>
      </c>
      <c r="I121" s="3">
        <f>$T$121*$Z$36</f>
        <v>0</v>
      </c>
      <c r="J121" s="3">
        <f>$T$121*$AA$36</f>
        <v>0</v>
      </c>
      <c r="K121" s="3">
        <f>$T$121*$AB$36</f>
        <v>0</v>
      </c>
      <c r="L121" s="3">
        <f>$T$121*$AC$36</f>
        <v>0</v>
      </c>
      <c r="M121" s="3">
        <f>$T$121*$AD$36</f>
        <v>0</v>
      </c>
      <c r="N121" s="3">
        <f>$T$121*$AE$36</f>
        <v>0</v>
      </c>
      <c r="O121" s="3">
        <f>$T$121*$AF$36</f>
        <v>0</v>
      </c>
      <c r="P121" s="3">
        <f>SUM(D121:O121)</f>
        <v>0</v>
      </c>
    </row>
    <row r="122" spans="1:16" x14ac:dyDescent="0.4">
      <c r="B122" s="1" t="s">
        <v>30</v>
      </c>
      <c r="C122" s="1">
        <v>3110</v>
      </c>
      <c r="D122" s="3">
        <f>$T122*$U$37</f>
        <v>0</v>
      </c>
      <c r="E122" s="3">
        <f>$T122*$V$37</f>
        <v>0</v>
      </c>
      <c r="F122" s="3">
        <f>$T$122*$W$37</f>
        <v>0</v>
      </c>
      <c r="G122" s="3">
        <f>$T$122*$X$37</f>
        <v>0</v>
      </c>
      <c r="H122" s="3">
        <f>$T$122*$Y$37</f>
        <v>0</v>
      </c>
      <c r="I122" s="3">
        <f>$T122*$Z$37</f>
        <v>0</v>
      </c>
      <c r="J122" s="3">
        <f>$T122*$Z$37</f>
        <v>0</v>
      </c>
      <c r="K122" s="3">
        <f>$T122*$Z$37</f>
        <v>0</v>
      </c>
      <c r="L122" s="3">
        <f>$T122*$Z$37</f>
        <v>0</v>
      </c>
      <c r="M122" s="3">
        <f t="shared" ref="M122:O122" si="34">$T122*$Z$37</f>
        <v>0</v>
      </c>
      <c r="N122" s="3">
        <f t="shared" si="34"/>
        <v>0</v>
      </c>
      <c r="O122" s="3">
        <f t="shared" si="34"/>
        <v>0</v>
      </c>
      <c r="P122" s="3">
        <f t="shared" ref="P122:P123" si="35">SUM(D122:O122)</f>
        <v>0</v>
      </c>
    </row>
    <row r="123" spans="1:16" x14ac:dyDescent="0.4">
      <c r="B123" s="1" t="s">
        <v>31</v>
      </c>
      <c r="C123" s="1">
        <v>7000</v>
      </c>
      <c r="D123" s="3">
        <f>$T$123*$U$38</f>
        <v>0</v>
      </c>
      <c r="E123" s="3">
        <f>$T$123*$V$38</f>
        <v>0</v>
      </c>
      <c r="F123" s="3">
        <f>$T123*$W$38</f>
        <v>0</v>
      </c>
      <c r="G123" s="3">
        <f t="shared" ref="G123:O123" si="36">$T123*$W$38</f>
        <v>0</v>
      </c>
      <c r="H123" s="3">
        <f t="shared" si="36"/>
        <v>0</v>
      </c>
      <c r="I123" s="3">
        <f t="shared" si="36"/>
        <v>0</v>
      </c>
      <c r="J123" s="3">
        <f t="shared" si="36"/>
        <v>0</v>
      </c>
      <c r="K123" s="3">
        <f t="shared" si="36"/>
        <v>0</v>
      </c>
      <c r="L123" s="3">
        <f t="shared" si="36"/>
        <v>0</v>
      </c>
      <c r="M123" s="3">
        <f t="shared" si="36"/>
        <v>0</v>
      </c>
      <c r="N123" s="3">
        <f t="shared" si="36"/>
        <v>0</v>
      </c>
      <c r="O123" s="3">
        <f t="shared" si="36"/>
        <v>0</v>
      </c>
      <c r="P123" s="3">
        <f t="shared" si="35"/>
        <v>0</v>
      </c>
    </row>
    <row r="124" spans="1:16" x14ac:dyDescent="0.4">
      <c r="A124" s="1" t="s">
        <v>32</v>
      </c>
      <c r="B124" s="1" t="s">
        <v>28</v>
      </c>
      <c r="D124" s="3">
        <f>$T$121*$U$39</f>
        <v>0</v>
      </c>
      <c r="E124" s="3">
        <f>$T$121*$V$39</f>
        <v>0</v>
      </c>
      <c r="F124" s="3">
        <f>$T$121*$W$39</f>
        <v>0</v>
      </c>
      <c r="G124" s="3">
        <f>$T$121*$X$39</f>
        <v>0</v>
      </c>
      <c r="H124" s="3">
        <f>$T$121*$Y$39</f>
        <v>0</v>
      </c>
      <c r="I124" s="3">
        <f>$T$121*$Z$39</f>
        <v>0</v>
      </c>
      <c r="J124" s="3">
        <f>$T$121*$AA$39</f>
        <v>0</v>
      </c>
      <c r="K124" s="3">
        <f>$T$121*$AB$39</f>
        <v>0</v>
      </c>
      <c r="L124" s="3">
        <f>$T$121*$AC$39</f>
        <v>0</v>
      </c>
      <c r="M124" s="3">
        <f>$T$121*$AD$39</f>
        <v>0</v>
      </c>
      <c r="N124" s="3">
        <f>$T$121*$AE$39</f>
        <v>0</v>
      </c>
      <c r="O124" s="3">
        <f>$T$121*$AF$39</f>
        <v>0</v>
      </c>
      <c r="P124" s="3">
        <f>SUM(D124:O124)</f>
        <v>0</v>
      </c>
    </row>
    <row r="125" spans="1:16" x14ac:dyDescent="0.4">
      <c r="B125" s="1" t="s">
        <v>30</v>
      </c>
      <c r="C125" s="1">
        <v>3110</v>
      </c>
      <c r="D125" s="3">
        <f>$T125*$U$40</f>
        <v>0</v>
      </c>
      <c r="E125" s="3">
        <f>$T125*$V$40</f>
        <v>0</v>
      </c>
      <c r="F125" s="3">
        <f>$T$122*$W$40</f>
        <v>0</v>
      </c>
      <c r="G125" s="3">
        <f>$T$122*$X$40</f>
        <v>0</v>
      </c>
      <c r="H125" s="3">
        <f>$T$122*$Y$40</f>
        <v>0</v>
      </c>
      <c r="I125" s="3">
        <f t="shared" ref="I125:O125" si="37">$T125*$Z$40</f>
        <v>0</v>
      </c>
      <c r="J125" s="3">
        <f t="shared" si="37"/>
        <v>0</v>
      </c>
      <c r="K125" s="3">
        <f t="shared" si="37"/>
        <v>0</v>
      </c>
      <c r="L125" s="3">
        <f t="shared" si="37"/>
        <v>0</v>
      </c>
      <c r="M125" s="3">
        <f t="shared" si="37"/>
        <v>0</v>
      </c>
      <c r="N125" s="3">
        <f t="shared" si="37"/>
        <v>0</v>
      </c>
      <c r="O125" s="3">
        <f t="shared" si="37"/>
        <v>0</v>
      </c>
      <c r="P125" s="3">
        <f>SUM(D125:O125)</f>
        <v>0</v>
      </c>
    </row>
    <row r="127" spans="1:16" x14ac:dyDescent="0.4">
      <c r="O127" s="3">
        <f>Q127-P127</f>
        <v>0</v>
      </c>
      <c r="P127" s="3">
        <f>SUM(P121:P124)</f>
        <v>0</v>
      </c>
    </row>
  </sheetData>
  <phoneticPr fontId="4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【全社】Windows PCレンタル </vt:lpstr>
      <vt:lpstr>Sheet1</vt:lpstr>
    </vt:vector>
  </TitlesOfParts>
  <Company>FMI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Keith(陳 建志)</dc:creator>
  <cp:lastModifiedBy>CHEN Keith(陳 建志)</cp:lastModifiedBy>
  <dcterms:created xsi:type="dcterms:W3CDTF">2025-12-22T03:45:28Z</dcterms:created>
  <dcterms:modified xsi:type="dcterms:W3CDTF">2025-12-22T04:48:48Z</dcterms:modified>
</cp:coreProperties>
</file>