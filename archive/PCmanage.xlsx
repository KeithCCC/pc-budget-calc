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CC.Playground\FMI_IT\pc-budget-calc\"/>
    </mc:Choice>
  </mc:AlternateContent>
  <xr:revisionPtr revIDLastSave="0" documentId="8_{D1E5AE2C-F708-4FAB-B510-DBAC0187239D}" xr6:coauthVersionLast="47" xr6:coauthVersionMax="47" xr10:uidLastSave="{00000000-0000-0000-0000-000000000000}"/>
  <bookViews>
    <workbookView xWindow="1395" yWindow="1020" windowWidth="19185" windowHeight="13575" xr2:uid="{8FC1D101-C4DD-4211-BBA5-1418F408FD10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"10/15/2024 00:20:16"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5" i="1" l="1"/>
  <c r="N125" i="1"/>
  <c r="M125" i="1"/>
  <c r="L125" i="1"/>
  <c r="K125" i="1"/>
  <c r="J125" i="1"/>
  <c r="I125" i="1"/>
  <c r="H125" i="1"/>
  <c r="G125" i="1"/>
  <c r="F125" i="1"/>
  <c r="E125" i="1"/>
  <c r="D125" i="1"/>
  <c r="P125" i="1" s="1"/>
  <c r="O124" i="1"/>
  <c r="N124" i="1"/>
  <c r="M124" i="1"/>
  <c r="L124" i="1"/>
  <c r="K124" i="1"/>
  <c r="J124" i="1"/>
  <c r="I124" i="1"/>
  <c r="H124" i="1"/>
  <c r="G124" i="1"/>
  <c r="F124" i="1"/>
  <c r="E124" i="1"/>
  <c r="D124" i="1"/>
  <c r="P124" i="1" s="1"/>
  <c r="O123" i="1"/>
  <c r="N123" i="1"/>
  <c r="M123" i="1"/>
  <c r="L123" i="1"/>
  <c r="K123" i="1"/>
  <c r="J123" i="1"/>
  <c r="I123" i="1"/>
  <c r="P123" i="1" s="1"/>
  <c r="H123" i="1"/>
  <c r="G123" i="1"/>
  <c r="F123" i="1"/>
  <c r="E123" i="1"/>
  <c r="D123" i="1"/>
  <c r="O122" i="1"/>
  <c r="N122" i="1"/>
  <c r="M122" i="1"/>
  <c r="L122" i="1"/>
  <c r="K122" i="1"/>
  <c r="J122" i="1"/>
  <c r="P122" i="1" s="1"/>
  <c r="I122" i="1"/>
  <c r="H122" i="1"/>
  <c r="G122" i="1"/>
  <c r="F122" i="1"/>
  <c r="E122" i="1"/>
  <c r="D122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P121" i="1" s="1"/>
  <c r="P118" i="1"/>
  <c r="P116" i="1"/>
  <c r="P115" i="1"/>
  <c r="P113" i="1"/>
  <c r="P112" i="1"/>
  <c r="P109" i="1"/>
  <c r="P107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P106" i="1" s="1"/>
  <c r="P102" i="1"/>
  <c r="K100" i="1"/>
  <c r="J100" i="1"/>
  <c r="I100" i="1"/>
  <c r="K99" i="1"/>
  <c r="J99" i="1"/>
  <c r="I99" i="1"/>
  <c r="P98" i="1"/>
  <c r="L98" i="1"/>
  <c r="K98" i="1"/>
  <c r="J98" i="1"/>
  <c r="M97" i="1"/>
  <c r="L97" i="1"/>
  <c r="K97" i="1"/>
  <c r="J97" i="1"/>
  <c r="P96" i="1"/>
  <c r="N96" i="1"/>
  <c r="M96" i="1"/>
  <c r="L96" i="1"/>
  <c r="K96" i="1"/>
  <c r="O95" i="1"/>
  <c r="N95" i="1"/>
  <c r="M95" i="1"/>
  <c r="L95" i="1"/>
  <c r="O94" i="1"/>
  <c r="N94" i="1"/>
  <c r="M94" i="1"/>
  <c r="L94" i="1"/>
  <c r="O93" i="1"/>
  <c r="N93" i="1"/>
  <c r="M93" i="1"/>
  <c r="L93" i="1"/>
  <c r="O92" i="1"/>
  <c r="N92" i="1"/>
  <c r="M92" i="1"/>
  <c r="L92" i="1"/>
  <c r="O91" i="1"/>
  <c r="N91" i="1"/>
  <c r="M91" i="1"/>
  <c r="L91" i="1"/>
  <c r="O90" i="1"/>
  <c r="N90" i="1"/>
  <c r="M90" i="1"/>
  <c r="L90" i="1"/>
  <c r="O89" i="1"/>
  <c r="N89" i="1"/>
  <c r="M89" i="1"/>
  <c r="L89" i="1"/>
  <c r="O88" i="1"/>
  <c r="N88" i="1"/>
  <c r="M88" i="1"/>
  <c r="L88" i="1"/>
  <c r="O87" i="1"/>
  <c r="N87" i="1"/>
  <c r="M87" i="1"/>
  <c r="L87" i="1"/>
  <c r="O82" i="1"/>
  <c r="O100" i="1" s="1"/>
  <c r="N82" i="1"/>
  <c r="N100" i="1" s="1"/>
  <c r="M82" i="1"/>
  <c r="M100" i="1" s="1"/>
  <c r="L82" i="1"/>
  <c r="L100" i="1" s="1"/>
  <c r="K82" i="1"/>
  <c r="J82" i="1"/>
  <c r="I82" i="1"/>
  <c r="H82" i="1"/>
  <c r="H100" i="1" s="1"/>
  <c r="G82" i="1"/>
  <c r="G100" i="1" s="1"/>
  <c r="F82" i="1"/>
  <c r="F100" i="1" s="1"/>
  <c r="E82" i="1"/>
  <c r="E100" i="1" s="1"/>
  <c r="D82" i="1"/>
  <c r="D100" i="1" s="1"/>
  <c r="O81" i="1"/>
  <c r="O99" i="1" s="1"/>
  <c r="N81" i="1"/>
  <c r="N99" i="1" s="1"/>
  <c r="M81" i="1"/>
  <c r="M99" i="1" s="1"/>
  <c r="L81" i="1"/>
  <c r="L99" i="1" s="1"/>
  <c r="K81" i="1"/>
  <c r="J81" i="1"/>
  <c r="I81" i="1"/>
  <c r="H81" i="1"/>
  <c r="H99" i="1" s="1"/>
  <c r="G81" i="1"/>
  <c r="G99" i="1" s="1"/>
  <c r="F81" i="1"/>
  <c r="F99" i="1" s="1"/>
  <c r="E81" i="1"/>
  <c r="E99" i="1" s="1"/>
  <c r="D81" i="1"/>
  <c r="D99" i="1" s="1"/>
  <c r="P80" i="1"/>
  <c r="O80" i="1"/>
  <c r="O98" i="1" s="1"/>
  <c r="N80" i="1"/>
  <c r="N98" i="1" s="1"/>
  <c r="M80" i="1"/>
  <c r="M98" i="1" s="1"/>
  <c r="L80" i="1"/>
  <c r="K80" i="1"/>
  <c r="J80" i="1"/>
  <c r="I80" i="1"/>
  <c r="I98" i="1" s="1"/>
  <c r="H80" i="1"/>
  <c r="H98" i="1" s="1"/>
  <c r="G80" i="1"/>
  <c r="G98" i="1" s="1"/>
  <c r="F80" i="1"/>
  <c r="F98" i="1" s="1"/>
  <c r="E80" i="1"/>
  <c r="E98" i="1" s="1"/>
  <c r="D80" i="1"/>
  <c r="D98" i="1" s="1"/>
  <c r="P79" i="1"/>
  <c r="O79" i="1"/>
  <c r="O97" i="1" s="1"/>
  <c r="N79" i="1"/>
  <c r="N97" i="1" s="1"/>
  <c r="M79" i="1"/>
  <c r="L79" i="1"/>
  <c r="K79" i="1"/>
  <c r="J79" i="1"/>
  <c r="I79" i="1"/>
  <c r="I97" i="1" s="1"/>
  <c r="H79" i="1"/>
  <c r="H97" i="1" s="1"/>
  <c r="G79" i="1"/>
  <c r="G97" i="1" s="1"/>
  <c r="F79" i="1"/>
  <c r="F97" i="1" s="1"/>
  <c r="E79" i="1"/>
  <c r="E97" i="1" s="1"/>
  <c r="D79" i="1"/>
  <c r="D97" i="1" s="1"/>
  <c r="P78" i="1"/>
  <c r="O78" i="1"/>
  <c r="O96" i="1" s="1"/>
  <c r="N78" i="1"/>
  <c r="M78" i="1"/>
  <c r="L78" i="1"/>
  <c r="K78" i="1"/>
  <c r="J78" i="1"/>
  <c r="J96" i="1" s="1"/>
  <c r="I78" i="1"/>
  <c r="I96" i="1" s="1"/>
  <c r="H78" i="1"/>
  <c r="H96" i="1" s="1"/>
  <c r="G78" i="1"/>
  <c r="G96" i="1" s="1"/>
  <c r="F78" i="1"/>
  <c r="F96" i="1" s="1"/>
  <c r="E78" i="1"/>
  <c r="E96" i="1" s="1"/>
  <c r="D78" i="1"/>
  <c r="D96" i="1" s="1"/>
  <c r="O77" i="1"/>
  <c r="N77" i="1"/>
  <c r="M77" i="1"/>
  <c r="L77" i="1"/>
  <c r="K77" i="1"/>
  <c r="J77" i="1"/>
  <c r="I77" i="1"/>
  <c r="H77" i="1"/>
  <c r="G77" i="1"/>
  <c r="F77" i="1"/>
  <c r="E77" i="1"/>
  <c r="D77" i="1"/>
  <c r="D95" i="1" s="1"/>
  <c r="O76" i="1"/>
  <c r="N76" i="1"/>
  <c r="M76" i="1"/>
  <c r="L76" i="1"/>
  <c r="K76" i="1"/>
  <c r="J76" i="1"/>
  <c r="I76" i="1"/>
  <c r="H76" i="1"/>
  <c r="G76" i="1"/>
  <c r="F76" i="1"/>
  <c r="E76" i="1"/>
  <c r="D76" i="1"/>
  <c r="D94" i="1" s="1"/>
  <c r="O75" i="1"/>
  <c r="N75" i="1"/>
  <c r="M75" i="1"/>
  <c r="L75" i="1"/>
  <c r="K75" i="1"/>
  <c r="J75" i="1"/>
  <c r="I75" i="1"/>
  <c r="H75" i="1"/>
  <c r="G75" i="1"/>
  <c r="F75" i="1"/>
  <c r="E75" i="1"/>
  <c r="D75" i="1"/>
  <c r="D93" i="1" s="1"/>
  <c r="O74" i="1"/>
  <c r="N74" i="1"/>
  <c r="M74" i="1"/>
  <c r="L74" i="1"/>
  <c r="K74" i="1"/>
  <c r="J74" i="1"/>
  <c r="I74" i="1"/>
  <c r="H74" i="1"/>
  <c r="G74" i="1"/>
  <c r="F74" i="1"/>
  <c r="E74" i="1"/>
  <c r="D74" i="1"/>
  <c r="D92" i="1" s="1"/>
  <c r="O73" i="1"/>
  <c r="N73" i="1"/>
  <c r="M73" i="1"/>
  <c r="L73" i="1"/>
  <c r="K73" i="1"/>
  <c r="J73" i="1"/>
  <c r="I73" i="1"/>
  <c r="H73" i="1"/>
  <c r="G73" i="1"/>
  <c r="F73" i="1"/>
  <c r="E73" i="1"/>
  <c r="D73" i="1"/>
  <c r="D91" i="1" s="1"/>
  <c r="O72" i="1"/>
  <c r="N72" i="1"/>
  <c r="M72" i="1"/>
  <c r="L72" i="1"/>
  <c r="K72" i="1"/>
  <c r="J72" i="1"/>
  <c r="I72" i="1"/>
  <c r="H72" i="1"/>
  <c r="G72" i="1"/>
  <c r="F72" i="1"/>
  <c r="E72" i="1"/>
  <c r="D72" i="1"/>
  <c r="D90" i="1" s="1"/>
  <c r="O71" i="1"/>
  <c r="N71" i="1"/>
  <c r="M71" i="1"/>
  <c r="L71" i="1"/>
  <c r="K71" i="1"/>
  <c r="J71" i="1"/>
  <c r="I71" i="1"/>
  <c r="H71" i="1"/>
  <c r="G71" i="1"/>
  <c r="F71" i="1"/>
  <c r="E71" i="1"/>
  <c r="D71" i="1"/>
  <c r="D89" i="1" s="1"/>
  <c r="O70" i="1"/>
  <c r="N70" i="1"/>
  <c r="M70" i="1"/>
  <c r="L70" i="1"/>
  <c r="K70" i="1"/>
  <c r="J70" i="1"/>
  <c r="I70" i="1"/>
  <c r="H70" i="1"/>
  <c r="G70" i="1"/>
  <c r="F70" i="1"/>
  <c r="E70" i="1"/>
  <c r="D70" i="1"/>
  <c r="D88" i="1" s="1"/>
  <c r="O69" i="1"/>
  <c r="N69" i="1"/>
  <c r="M69" i="1"/>
  <c r="L69" i="1"/>
  <c r="K69" i="1"/>
  <c r="J69" i="1"/>
  <c r="I69" i="1"/>
  <c r="H69" i="1"/>
  <c r="G69" i="1"/>
  <c r="F69" i="1"/>
  <c r="E69" i="1"/>
  <c r="D69" i="1"/>
  <c r="P77" i="1" s="1"/>
  <c r="O66" i="1"/>
  <c r="N66" i="1"/>
  <c r="M66" i="1"/>
  <c r="L66" i="1"/>
  <c r="K66" i="1"/>
  <c r="J66" i="1"/>
  <c r="I66" i="1"/>
  <c r="H66" i="1"/>
  <c r="G66" i="1"/>
  <c r="F66" i="1"/>
  <c r="E66" i="1"/>
  <c r="E95" i="1" s="1"/>
  <c r="D66" i="1"/>
  <c r="O65" i="1"/>
  <c r="N65" i="1"/>
  <c r="M65" i="1"/>
  <c r="L65" i="1"/>
  <c r="K65" i="1"/>
  <c r="J65" i="1"/>
  <c r="I65" i="1"/>
  <c r="H65" i="1"/>
  <c r="G65" i="1"/>
  <c r="F65" i="1"/>
  <c r="E65" i="1"/>
  <c r="E94" i="1" s="1"/>
  <c r="D65" i="1"/>
  <c r="O64" i="1"/>
  <c r="N64" i="1"/>
  <c r="M64" i="1"/>
  <c r="L64" i="1"/>
  <c r="K64" i="1"/>
  <c r="J64" i="1"/>
  <c r="I64" i="1"/>
  <c r="H64" i="1"/>
  <c r="G64" i="1"/>
  <c r="F64" i="1"/>
  <c r="E64" i="1"/>
  <c r="E93" i="1" s="1"/>
  <c r="D64" i="1"/>
  <c r="O63" i="1"/>
  <c r="N63" i="1"/>
  <c r="M63" i="1"/>
  <c r="L63" i="1"/>
  <c r="K63" i="1"/>
  <c r="J63" i="1"/>
  <c r="I63" i="1"/>
  <c r="H63" i="1"/>
  <c r="G63" i="1"/>
  <c r="F63" i="1"/>
  <c r="E63" i="1"/>
  <c r="E92" i="1" s="1"/>
  <c r="D63" i="1"/>
  <c r="O62" i="1"/>
  <c r="N62" i="1"/>
  <c r="M62" i="1"/>
  <c r="L62" i="1"/>
  <c r="K62" i="1"/>
  <c r="J62" i="1"/>
  <c r="I62" i="1"/>
  <c r="H62" i="1"/>
  <c r="G62" i="1"/>
  <c r="F62" i="1"/>
  <c r="E62" i="1"/>
  <c r="E91" i="1" s="1"/>
  <c r="D62" i="1"/>
  <c r="O61" i="1"/>
  <c r="N61" i="1"/>
  <c r="M61" i="1"/>
  <c r="L61" i="1"/>
  <c r="K61" i="1"/>
  <c r="J61" i="1"/>
  <c r="I61" i="1"/>
  <c r="H61" i="1"/>
  <c r="G61" i="1"/>
  <c r="F61" i="1"/>
  <c r="E61" i="1"/>
  <c r="E90" i="1" s="1"/>
  <c r="D61" i="1"/>
  <c r="O60" i="1"/>
  <c r="N60" i="1"/>
  <c r="M60" i="1"/>
  <c r="L60" i="1"/>
  <c r="K60" i="1"/>
  <c r="J60" i="1"/>
  <c r="I60" i="1"/>
  <c r="H60" i="1"/>
  <c r="G60" i="1"/>
  <c r="F60" i="1"/>
  <c r="E60" i="1"/>
  <c r="E89" i="1" s="1"/>
  <c r="D60" i="1"/>
  <c r="O59" i="1"/>
  <c r="N59" i="1"/>
  <c r="M59" i="1"/>
  <c r="L59" i="1"/>
  <c r="K59" i="1"/>
  <c r="J59" i="1"/>
  <c r="I59" i="1"/>
  <c r="H59" i="1"/>
  <c r="G59" i="1"/>
  <c r="F59" i="1"/>
  <c r="E59" i="1"/>
  <c r="E88" i="1" s="1"/>
  <c r="D59" i="1"/>
  <c r="O58" i="1"/>
  <c r="N58" i="1"/>
  <c r="M58" i="1"/>
  <c r="L58" i="1"/>
  <c r="K58" i="1"/>
  <c r="J58" i="1"/>
  <c r="I58" i="1"/>
  <c r="H58" i="1"/>
  <c r="G58" i="1"/>
  <c r="F58" i="1"/>
  <c r="E58" i="1"/>
  <c r="E87" i="1" s="1"/>
  <c r="D58" i="1"/>
  <c r="P66" i="1" s="1"/>
  <c r="O55" i="1"/>
  <c r="N55" i="1"/>
  <c r="M55" i="1"/>
  <c r="L55" i="1"/>
  <c r="K55" i="1"/>
  <c r="K95" i="1" s="1"/>
  <c r="J55" i="1"/>
  <c r="J95" i="1" s="1"/>
  <c r="I55" i="1"/>
  <c r="I95" i="1" s="1"/>
  <c r="H55" i="1"/>
  <c r="H95" i="1" s="1"/>
  <c r="G55" i="1"/>
  <c r="G95" i="1" s="1"/>
  <c r="F55" i="1"/>
  <c r="F95" i="1" s="1"/>
  <c r="E55" i="1"/>
  <c r="D55" i="1"/>
  <c r="O54" i="1"/>
  <c r="N54" i="1"/>
  <c r="M54" i="1"/>
  <c r="L54" i="1"/>
  <c r="K54" i="1"/>
  <c r="K94" i="1" s="1"/>
  <c r="J54" i="1"/>
  <c r="J94" i="1" s="1"/>
  <c r="I54" i="1"/>
  <c r="I94" i="1" s="1"/>
  <c r="H54" i="1"/>
  <c r="H94" i="1" s="1"/>
  <c r="G54" i="1"/>
  <c r="G94" i="1" s="1"/>
  <c r="F54" i="1"/>
  <c r="F94" i="1" s="1"/>
  <c r="E54" i="1"/>
  <c r="D54" i="1"/>
  <c r="O53" i="1"/>
  <c r="N53" i="1"/>
  <c r="M53" i="1"/>
  <c r="L53" i="1"/>
  <c r="K53" i="1"/>
  <c r="K93" i="1" s="1"/>
  <c r="J53" i="1"/>
  <c r="J93" i="1" s="1"/>
  <c r="I53" i="1"/>
  <c r="I93" i="1" s="1"/>
  <c r="H53" i="1"/>
  <c r="H93" i="1" s="1"/>
  <c r="G53" i="1"/>
  <c r="G93" i="1" s="1"/>
  <c r="F53" i="1"/>
  <c r="F93" i="1" s="1"/>
  <c r="E53" i="1"/>
  <c r="D53" i="1"/>
  <c r="O52" i="1"/>
  <c r="N52" i="1"/>
  <c r="M52" i="1"/>
  <c r="L52" i="1"/>
  <c r="K52" i="1"/>
  <c r="K92" i="1" s="1"/>
  <c r="J52" i="1"/>
  <c r="J92" i="1" s="1"/>
  <c r="I52" i="1"/>
  <c r="I92" i="1" s="1"/>
  <c r="H52" i="1"/>
  <c r="H92" i="1" s="1"/>
  <c r="G52" i="1"/>
  <c r="G92" i="1" s="1"/>
  <c r="F52" i="1"/>
  <c r="F92" i="1" s="1"/>
  <c r="E52" i="1"/>
  <c r="D52" i="1"/>
  <c r="O51" i="1"/>
  <c r="N51" i="1"/>
  <c r="M51" i="1"/>
  <c r="L51" i="1"/>
  <c r="K51" i="1"/>
  <c r="K91" i="1" s="1"/>
  <c r="J51" i="1"/>
  <c r="J91" i="1" s="1"/>
  <c r="I51" i="1"/>
  <c r="I91" i="1" s="1"/>
  <c r="H51" i="1"/>
  <c r="H91" i="1" s="1"/>
  <c r="G51" i="1"/>
  <c r="G91" i="1" s="1"/>
  <c r="F51" i="1"/>
  <c r="F91" i="1" s="1"/>
  <c r="E51" i="1"/>
  <c r="D51" i="1"/>
  <c r="O50" i="1"/>
  <c r="N50" i="1"/>
  <c r="M50" i="1"/>
  <c r="L50" i="1"/>
  <c r="K50" i="1"/>
  <c r="K90" i="1" s="1"/>
  <c r="J50" i="1"/>
  <c r="J90" i="1" s="1"/>
  <c r="I50" i="1"/>
  <c r="I90" i="1" s="1"/>
  <c r="H50" i="1"/>
  <c r="H90" i="1" s="1"/>
  <c r="G50" i="1"/>
  <c r="G90" i="1" s="1"/>
  <c r="F50" i="1"/>
  <c r="F90" i="1" s="1"/>
  <c r="E50" i="1"/>
  <c r="D50" i="1"/>
  <c r="O49" i="1"/>
  <c r="N49" i="1"/>
  <c r="M49" i="1"/>
  <c r="L49" i="1"/>
  <c r="K49" i="1"/>
  <c r="K89" i="1" s="1"/>
  <c r="J49" i="1"/>
  <c r="J89" i="1" s="1"/>
  <c r="I49" i="1"/>
  <c r="I89" i="1" s="1"/>
  <c r="H49" i="1"/>
  <c r="H89" i="1" s="1"/>
  <c r="G49" i="1"/>
  <c r="G89" i="1" s="1"/>
  <c r="F49" i="1"/>
  <c r="F89" i="1" s="1"/>
  <c r="E49" i="1"/>
  <c r="D49" i="1"/>
  <c r="O48" i="1"/>
  <c r="N48" i="1"/>
  <c r="M48" i="1"/>
  <c r="L48" i="1"/>
  <c r="K48" i="1"/>
  <c r="K88" i="1" s="1"/>
  <c r="J48" i="1"/>
  <c r="J88" i="1" s="1"/>
  <c r="I48" i="1"/>
  <c r="I88" i="1" s="1"/>
  <c r="H48" i="1"/>
  <c r="H88" i="1" s="1"/>
  <c r="G48" i="1"/>
  <c r="G88" i="1" s="1"/>
  <c r="F48" i="1"/>
  <c r="F88" i="1" s="1"/>
  <c r="E48" i="1"/>
  <c r="D48" i="1"/>
  <c r="O47" i="1"/>
  <c r="N47" i="1"/>
  <c r="M47" i="1"/>
  <c r="L47" i="1"/>
  <c r="K47" i="1"/>
  <c r="K87" i="1" s="1"/>
  <c r="J47" i="1"/>
  <c r="J87" i="1" s="1"/>
  <c r="I47" i="1"/>
  <c r="I87" i="1" s="1"/>
  <c r="H47" i="1"/>
  <c r="H87" i="1" s="1"/>
  <c r="G47" i="1"/>
  <c r="G87" i="1" s="1"/>
  <c r="F47" i="1"/>
  <c r="F87" i="1" s="1"/>
  <c r="E47" i="1"/>
  <c r="D47" i="1"/>
  <c r="P55" i="1" s="1"/>
  <c r="P127" i="1" l="1"/>
  <c r="O127" i="1" s="1"/>
  <c r="D87" i="1"/>
  <c r="P100" i="1" l="1"/>
  <c r="P95" i="1"/>
</calcChain>
</file>

<file path=xl/sharedStrings.xml><?xml version="1.0" encoding="utf-8"?>
<sst xmlns="http://schemas.openxmlformats.org/spreadsheetml/2006/main" count="233" uniqueCount="50">
  <si>
    <t>計算用</t>
  </si>
  <si>
    <t>台数のみ</t>
  </si>
  <si>
    <t>Unit price</t>
    <phoneticPr fontId="2"/>
  </si>
  <si>
    <t>ASIS</t>
    <phoneticPr fontId="2"/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</si>
  <si>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</si>
  <si>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</si>
  <si>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</si>
  <si>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</si>
  <si>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</si>
  <si>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</si>
  <si>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</si>
  <si>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</si>
  <si>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</si>
  <si>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</si>
  <si>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</si>
  <si>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</si>
  <si>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</t>
    <rPh sb="0" eb="2">
      <t>ゴウケイ</t>
    </rPh>
    <phoneticPr fontId="2"/>
  </si>
  <si>
    <t>HP Elite SFF 800 G9 PC (4G087AV)</t>
  </si>
  <si>
    <t>LIFE BOOK U9313</t>
  </si>
  <si>
    <t>SurfacePro8</t>
  </si>
  <si>
    <t>ThinkPad L13Gen2</t>
  </si>
  <si>
    <t>ThinkPad X13 Gen 4</t>
  </si>
  <si>
    <t>ThinkPad X13 Gen5</t>
  </si>
  <si>
    <t>ThinkPad X13Gen3</t>
  </si>
  <si>
    <t>ThinkPad X13Gen3 PN</t>
  </si>
  <si>
    <t>ThinkPadL13Gen4</t>
  </si>
  <si>
    <t>Return</t>
    <phoneticPr fontId="2"/>
  </si>
  <si>
    <t>列1</t>
  </si>
  <si>
    <t>New</t>
    <phoneticPr fontId="2"/>
  </si>
  <si>
    <t>新規</t>
  </si>
  <si>
    <t>フロントPC</t>
  </si>
  <si>
    <t>バックPC</t>
  </si>
  <si>
    <t>ハイスペックPC</t>
  </si>
  <si>
    <t>リプレース</t>
  </si>
  <si>
    <t>現行</t>
  </si>
  <si>
    <t>変更不可（自動計算）</t>
  </si>
  <si>
    <t>金額</t>
    <rPh sb="0" eb="2">
      <t>キンガク</t>
    </rPh>
    <phoneticPr fontId="2"/>
  </si>
  <si>
    <t>削減</t>
  </si>
  <si>
    <t>合算</t>
  </si>
  <si>
    <t>三菱HCｷｬﾋﾟﾀﾙITﾊﾟｰﾄﾅｰｽﾞ㈱</t>
  </si>
  <si>
    <t>ｿﾌﾄﾊﾞﾝｸ㈱</t>
  </si>
  <si>
    <t>ThinkPad X13 Gen3</t>
  </si>
  <si>
    <t>ThinkPad X13 Gen4</t>
  </si>
  <si>
    <t>ﾊﾟｼﾌｨｯｸﾈｯﾄ㈱</t>
  </si>
  <si>
    <t> </t>
  </si>
  <si>
    <t>横河ﾚﾝﾀ･ﾘｰｽ㈱</t>
  </si>
  <si>
    <t>ThinkPad L13 Gen2</t>
  </si>
  <si>
    <t>Surface Pro8</t>
  </si>
  <si>
    <t>ThinkPadL13Gen4（Gen2の交換機）</t>
  </si>
  <si>
    <t>Pacific Net 価格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</si>
</sst>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4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36">
    <xf numFmtId="0" fontId="0" fillId="0" borderId="0" xfId="0"/>
    <xf numFmtId="0" fontId="0" fillId="0" borderId="0" xfId="1" applyFont="1">
      <alignment vertical="center"/>
    </xf>
    <xf numFmtId="41" fontId="0" fillId="0" borderId="0" xfId="1" applyNumberFormat="1" applyFont="1">
      <alignment vertical="center"/>
    </xf>
    <xf numFmtId="0" fontId="0" fillId="2" borderId="0" xfId="1" applyFont="1" applyFill="1">
      <alignment vertical="center"/>
    </xf>
    <xf numFmtId="41" fontId="3" fillId="2" borderId="0" xfId="1" applyNumberFormat="1" applyFont="1" applyFill="1" applyAlignment="1"/>
    <xf numFmtId="0" fontId="3" fillId="2" borderId="0" xfId="1" applyFont="1" applyFill="1" applyAlignment="1"/>
    <xf numFmtId="0" fontId="0" fillId="2" borderId="0" xfId="1" applyFont="1" applyFill="1" applyAlignment="1">
      <alignment horizontal="left" vertical="center"/>
    </xf>
    <xf numFmtId="41" fontId="0" fillId="2" borderId="0" xfId="1" applyNumberFormat="1" applyFont="1" applyFill="1">
      <alignment vertical="center"/>
    </xf>
    <xf numFmtId="0" fontId="0" fillId="3" borderId="0" xfId="1" applyFont="1" applyFill="1">
      <alignment vertical="center"/>
    </xf>
    <xf numFmtId="41" fontId="3" fillId="3" borderId="0" xfId="1" applyNumberFormat="1" applyFont="1" applyFill="1" applyAlignment="1"/>
    <xf numFmtId="0" fontId="0" fillId="3" borderId="0" xfId="1" applyFont="1" applyFill="1" applyAlignment="1">
      <alignment horizontal="left" vertical="center"/>
    </xf>
    <xf numFmtId="41" fontId="0" fillId="3" borderId="0" xfId="1" applyNumberFormat="1" applyFont="1" applyFill="1">
      <alignment vertical="center"/>
    </xf>
    <xf numFmtId="0" fontId="0" fillId="4" borderId="0" xfId="1" applyFont="1" applyFill="1">
      <alignment vertical="center"/>
    </xf>
    <xf numFmtId="41" fontId="3" fillId="4" borderId="0" xfId="1" applyNumberFormat="1" applyFont="1" applyFill="1" applyAlignment="1"/>
    <xf numFmtId="0" fontId="0" fillId="4" borderId="0" xfId="1" applyFont="1" applyFill="1" applyAlignment="1">
      <alignment horizontal="left" vertical="center"/>
    </xf>
    <xf numFmtId="41" fontId="0" fillId="4" borderId="0" xfId="1" applyNumberFormat="1" applyFont="1" applyFill="1">
      <alignment vertical="center"/>
    </xf>
    <xf numFmtId="0" fontId="0" fillId="5" borderId="0" xfId="1" applyFont="1" applyFill="1">
      <alignment vertical="center"/>
    </xf>
    <xf numFmtId="0" fontId="0" fillId="5" borderId="0" xfId="1" applyFont="1" applyFill="1" applyAlignment="1">
      <alignment horizontal="left" vertical="center"/>
    </xf>
    <xf numFmtId="41" fontId="0" fillId="5" borderId="0" xfId="1" applyNumberFormat="1" applyFont="1" applyFill="1">
      <alignment vertical="center"/>
    </xf>
    <xf numFmtId="0" fontId="0" fillId="6" borderId="0" xfId="1" applyFont="1" applyFill="1">
      <alignment vertical="center"/>
    </xf>
    <xf numFmtId="41" fontId="3" fillId="6" borderId="0" xfId="1" applyNumberFormat="1" applyFont="1" applyFill="1" applyAlignment="1"/>
    <xf numFmtId="0" fontId="3" fillId="6" borderId="0" xfId="1" applyFont="1" applyFill="1" applyAlignment="1"/>
    <xf numFmtId="0" fontId="0" fillId="6" borderId="0" xfId="1" applyFont="1" applyFill="1" applyAlignment="1">
      <alignment horizontal="left" vertical="center"/>
    </xf>
    <xf numFmtId="41" fontId="0" fillId="6" borderId="0" xfId="1" applyNumberFormat="1" applyFont="1" applyFill="1">
      <alignment vertical="center"/>
    </xf>
    <xf numFmtId="0" fontId="0" fillId="7" borderId="0" xfId="1" applyFont="1" applyFill="1">
      <alignment vertical="center"/>
    </xf>
    <xf numFmtId="41" fontId="3" fillId="7" borderId="0" xfId="1" applyNumberFormat="1" applyFont="1" applyFill="1" applyAlignment="1"/>
    <xf numFmtId="0" fontId="3" fillId="7" borderId="0" xfId="1" applyFont="1" applyFill="1" applyAlignment="1"/>
    <xf numFmtId="0" fontId="0" fillId="7" borderId="0" xfId="1" applyFont="1" applyFill="1" applyAlignment="1">
      <alignment horizontal="left" vertical="center"/>
    </xf>
    <xf numFmtId="41" fontId="0" fillId="7" borderId="0" xfId="1" applyNumberFormat="1" applyFont="1" applyFill="1">
      <alignment vertical="center"/>
    </xf>
    <xf numFmtId="0" fontId="3" fillId="4" borderId="0" xfId="1" applyFont="1" applyFill="1" applyAlignment="1"/>
    <xf numFmtId="0" fontId="0" fillId="8" borderId="0" xfId="1" applyFont="1" applyFill="1">
      <alignment vertical="center"/>
    </xf>
    <xf numFmtId="41" fontId="3" fillId="8" borderId="0" xfId="1" applyNumberFormat="1" applyFont="1" applyFill="1" applyAlignment="1"/>
    <xf numFmtId="0" fontId="3" fillId="8" borderId="0" xfId="1" applyFont="1" applyFill="1" applyAlignment="1"/>
    <xf numFmtId="0" fontId="0" fillId="8" borderId="0" xfId="1" applyFont="1" applyFill="1" applyAlignment="1">
      <alignment horizontal="left" vertical="center"/>
    </xf>
    <xf numFmtId="41" fontId="0" fillId="8" borderId="0" xfId="1" applyNumberFormat="1" applyFont="1" applyFill="1">
      <alignment vertical="center"/>
    </xf>
    <xf numFmtId="41" fontId="0" fillId="0" borderId="0" xfId="1" applyNumberFormat="1" applyFont="1" applyAlignment="1">
      <alignment horizontal="right" vertical="center"/>
    </xf>
  </cellXfs>
  <cellStyles count="2">
    <cellStyle name="標準" xfId="0" builtinId="0"/>
    <cellStyle name="標準 4" xfId="1" xr:uid="{448DBE23-57BB-450C-B5F0-A7EAFB1BDEE7}"/>
  </cellStyles>
  <dxfs count="5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游ゴシック"/>
        <family val="3"/>
        <charset val="128"/>
        <scheme val="minor"/>
      </font>
      <numFmt numFmtId="33" formatCode="_ * #,##0_ ;_ * \-#,##0_ ;_ * &quot;-&quot;_ ;_ @_ "/>
      <fill>
        <patternFill patternType="solid">
          <fgColor indexed="64"/>
          <bgColor theme="8" tint="0.79998168889431442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游ゴシック"/>
        <family val="3"/>
        <charset val="128"/>
        <scheme val="minor"/>
      </font>
      <numFmt numFmtId="33" formatCode="_ * #,##0_ ;_ * \-#,##0_ ;_ * &quot;-&quot;_ ;_ @_ "/>
      <fill>
        <patternFill patternType="solid">
          <fgColor indexed="64"/>
          <bgColor theme="3" tint="0.89999084444715716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游ゴシック"/>
        <family val="3"/>
        <charset val="128"/>
        <scheme val="minor"/>
      </font>
      <numFmt numFmtId="33" formatCode="_ * #,##0_ ;_ * \-#,##0_ ;_ * &quot;-&quot;_ ;_ @_ "/>
      <fill>
        <patternFill patternType="solid">
          <fgColor indexed="64"/>
          <bgColor theme="6" tint="0.79998168889431442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D8E53E-06FC-4B97-B868-4A9B8A4F88A1}" name="テーブル1" displayName="テーブル1" ref="A2:P11" totalsRowShown="0" headerRowDxfId="53" dataDxfId="52" headerRowCellStyle="標準 4" dataCellStyle="標準 4">
  <autoFilter ref="A2:P11" xr:uid="{4CB560E8-B92F-4427-9090-0A88388CC859}"/>
  <tableColumns count="16">
    <tableColumn id="1" xr3:uid="{945FB2C5-1D89-4D80-8126-14F5D1DA10B6}" name="ASIS" dataDxfId="51" dataCellStyle="標準 4"/>
    <tableColumn id="2" xr3:uid="{FA15825A-7650-45A3-A64A-E10B9FCAA17E}" name="台数のみ" dataDxfId="50" dataCellStyle="標準 4"/>
    <tableColumn id="3" xr3:uid="{D6989907-AEF9-43E4-BEC4-38E0AFB92012}" name="Unit price" dataDxfId="49" dataCellStyle="標準 4"/>
    <tableColumn id="4" xr3:uid="{B5A54619-487A-44D6-80DD-87D899E00A80}" name="1月" dataDxfId="48" dataCellStyle="標準 4"/>
    <tableColumn id="5" xr3:uid="{DA38D55C-95C5-4FBB-BA2C-A1CB57CCBE14}" name="2月" dataDxfId="47" dataCellStyle="標準 4"/>
    <tableColumn id="6" xr3:uid="{C664AEA7-FB79-4B8F-B4FC-5ADC8F7B4FB4}" name="3月" dataDxfId="46" dataCellStyle="標準 4"/>
    <tableColumn id="7" xr3:uid="{A69EF809-E831-47C7-807A-DA28881BE06D}" name="4月" dataDxfId="45" dataCellStyle="標準 4"/>
    <tableColumn id="8" xr3:uid="{02885AD5-7F0A-471C-BBFC-FAE6B228CFD9}" name="5月" dataDxfId="44" dataCellStyle="標準 4"/>
    <tableColumn id="9" xr3:uid="{FCF28248-8ED0-45FB-A82A-17C61CB32930}" name="6月" dataDxfId="43" dataCellStyle="標準 4"/>
    <tableColumn id="10" xr3:uid="{192473C3-479B-4AE2-8A60-0997E7D5AB8B}" name="7月" dataDxfId="42" dataCellStyle="標準 4"/>
    <tableColumn id="11" xr3:uid="{84634C74-147C-4A31-AC0F-D0EA573C3F0A}" name="8月" dataDxfId="41" dataCellStyle="標準 4"/>
    <tableColumn id="12" xr3:uid="{6E670EA3-8D5A-43FE-AA84-D4218C756F17}" name="9月" dataDxfId="40" dataCellStyle="標準 4"/>
    <tableColumn id="13" xr3:uid="{34176796-E138-41C6-9752-1CF53E24BB83}" name="10月" dataDxfId="39" dataCellStyle="標準 4"/>
    <tableColumn id="14" xr3:uid="{F5204D4C-8BA0-43F4-AF98-0D39E4F7DC38}" name="11月" dataDxfId="38" dataCellStyle="標準 4"/>
    <tableColumn id="15" xr3:uid="{1C7A3F80-081C-4758-996C-A9F10B9959F1}" name="12月" dataDxfId="37" dataCellStyle="標準 4"/>
    <tableColumn id="16" xr3:uid="{A5C0F2DE-8EB9-48C3-8202-3D97347E2941}" name="合計" dataDxfId="36" dataCellStyle="標準 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4D4431-5150-43F8-ADB6-C6779C7B9B16}" name="テーブル2" displayName="テーブル2" ref="A14:P23" totalsRowShown="0" headerRowDxfId="35" dataDxfId="34" headerRowCellStyle="標準 4" dataCellStyle="標準 4">
  <autoFilter ref="A14:P23" xr:uid="{5E2ABFC9-47DD-4EF7-A469-0E48D124BC0F}"/>
  <tableColumns count="16">
    <tableColumn id="1" xr3:uid="{3AD14FC9-32AF-4A0E-8E4F-1E477C607786}" name="Return" dataDxfId="33" dataCellStyle="標準 4"/>
    <tableColumn id="2" xr3:uid="{41628346-28D6-4DC0-8B3F-EA4632816064}" name="台数のみ" dataDxfId="32" dataCellStyle="標準 4"/>
    <tableColumn id="3" xr3:uid="{A192D259-1AB5-4909-B7D2-2F00D8F6CEEF}" name="Unit price" dataDxfId="31" dataCellStyle="標準 4"/>
    <tableColumn id="4" xr3:uid="{791F9F5B-5FEE-4A11-AFDF-58ED40601ED8}" name="1月" dataDxfId="30" dataCellStyle="標準 4"/>
    <tableColumn id="5" xr3:uid="{14970E4B-EA13-4F32-971F-BE787FC1AA5C}" name="2月" dataDxfId="29" dataCellStyle="標準 4"/>
    <tableColumn id="6" xr3:uid="{8E84447E-C740-49B2-9B38-79B20858A63C}" name="3月" dataDxfId="28" dataCellStyle="標準 4"/>
    <tableColumn id="7" xr3:uid="{E07B0667-48D2-4FEF-BF3E-08E589F7314A}" name="4月" dataDxfId="27" dataCellStyle="標準 4"/>
    <tableColumn id="8" xr3:uid="{E283333A-BA27-4E36-8687-B453453A82F3}" name="5月" dataDxfId="26" dataCellStyle="標準 4"/>
    <tableColumn id="9" xr3:uid="{AAAE5A7B-72D3-4F13-898E-A898B3890C05}" name="6月" dataDxfId="25" dataCellStyle="標準 4"/>
    <tableColumn id="10" xr3:uid="{F21DBBC2-02D4-4D2B-9A37-DFEF1CED993D}" name="7月" dataDxfId="24" dataCellStyle="標準 4"/>
    <tableColumn id="11" xr3:uid="{37AF1B2A-C4F2-4409-A7EC-6868C048C309}" name="8月" dataDxfId="23" dataCellStyle="標準 4"/>
    <tableColumn id="12" xr3:uid="{24D35164-BF5D-496D-B0F8-93216993CD82}" name="9月" dataDxfId="22" dataCellStyle="標準 4"/>
    <tableColumn id="13" xr3:uid="{3204CC53-EECC-49A3-A925-F2FB78427669}" name="10月" dataDxfId="21" dataCellStyle="標準 4"/>
    <tableColumn id="14" xr3:uid="{22F94CDF-0ED5-425B-B42A-666103ABD7D0}" name="11月" dataDxfId="20" dataCellStyle="標準 4"/>
    <tableColumn id="15" xr3:uid="{6C1022D4-C6CE-4164-957B-EE075ED7CF23}" name="12月" dataDxfId="19" dataCellStyle="標準 4"/>
    <tableColumn id="16" xr3:uid="{98C071D1-6E78-472D-8751-B9B200CED195}" name="列1" dataDxfId="18" dataCellStyle="標準 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E51E48-A1A9-4C1F-8609-7818B6162912}" name="テーブル3" displayName="テーブル3" ref="A26:P40" totalsRowShown="0" headerRowDxfId="17" dataDxfId="16" headerRowCellStyle="標準 4" dataCellStyle="標準 4">
  <autoFilter ref="A26:P40" xr:uid="{5343764C-EECB-4FBF-8EB9-B323C5056335}"/>
  <tableColumns count="16">
    <tableColumn id="1" xr3:uid="{46492958-AA74-4B73-B3C2-D5A947B219EA}" name="New" dataDxfId="15" dataCellStyle="標準 4"/>
    <tableColumn id="2" xr3:uid="{5827CC18-2A44-4C08-8F6E-6EFFFC2D8A6E}" name="台数のみ" dataDxfId="14" dataCellStyle="標準 4"/>
    <tableColumn id="3" xr3:uid="{62C452BE-D0F6-4D9B-A880-B6FFF7736406}" name="Unit price" dataDxfId="13" dataCellStyle="標準 4"/>
    <tableColumn id="4" xr3:uid="{AED5319C-D0D9-4E9E-BB89-4688BEDF5943}" name="1月" dataDxfId="12" dataCellStyle="標準 4"/>
    <tableColumn id="5" xr3:uid="{E0AE36F4-3CB9-4304-B1AE-B5DDD2C87CFD}" name="2月" dataDxfId="11" dataCellStyle="標準 4"/>
    <tableColumn id="6" xr3:uid="{A41ADED9-03BB-4193-BCD2-69214C4FC9EF}" name="3月" dataDxfId="10" dataCellStyle="標準 4"/>
    <tableColumn id="7" xr3:uid="{429CB5EB-7CD0-4C8E-84DF-1E7929CF7D62}" name="4月" dataDxfId="9" dataCellStyle="標準 4"/>
    <tableColumn id="8" xr3:uid="{CF706F2C-F9B3-45DB-9E69-E7036308900C}" name="5月" dataDxfId="8" dataCellStyle="標準 4"/>
    <tableColumn id="9" xr3:uid="{14641C61-9D08-485B-A6E7-53261BA54483}" name="6月" dataDxfId="7" dataCellStyle="標準 4"/>
    <tableColumn id="10" xr3:uid="{B90783B8-F606-48C2-9A4D-B6F01835337E}" name="7月" dataDxfId="6" dataCellStyle="標準 4"/>
    <tableColumn id="11" xr3:uid="{F6EFA6B7-E502-4F0A-AB6B-25FC151444AA}" name="8月" dataDxfId="5" dataCellStyle="標準 4"/>
    <tableColumn id="12" xr3:uid="{C5C8989D-16F5-41E6-8C1D-F487CB482438}" name="9月" dataDxfId="4" dataCellStyle="標準 4"/>
    <tableColumn id="13" xr3:uid="{C7BA9C7E-C848-4296-A092-C1FC1B013984}" name="10月" dataDxfId="3" dataCellStyle="標準 4"/>
    <tableColumn id="14" xr3:uid="{12377D89-44EC-4099-9BF9-5D033E35E25C}" name="11月" dataDxfId="2" dataCellStyle="標準 4"/>
    <tableColumn id="15" xr3:uid="{468A7212-4F0B-4EB6-9B66-2D1BAAEC4094}" name="12月" dataDxfId="1" dataCellStyle="標準 4"/>
    <tableColumn id="16" xr3:uid="{6F3FC135-228B-4D04-8359-4F5B2394E358}" name="列1" dataDxfId="0" dataCellStyle="標準 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A9147-E679-414F-A2D9-1422C080E89D}">
  <dimension ref="A1:P127"/>
  <sheetViews>
    <sheetView tabSelected="1" workbookViewId="0">
      <selection activeCell="E20" sqref="E20"/>
    </sheetView>
  </sheetViews>
  <sheetFormatPr defaultRowHeight="18.75" x14ac:dyDescent="0.4"/>
  <cols>
    <col min="1" max="1" width="14.5" style="1" bestFit="1" customWidth="1"/>
    <col min="2" max="2" width="33.875" style="1" bestFit="1" customWidth="1"/>
    <col min="3" max="3" width="11.625" style="1" customWidth="1"/>
    <col min="4" max="15" width="12.75" style="2" customWidth="1"/>
    <col min="16" max="16" width="11.25" style="1" customWidth="1"/>
  </cols>
  <sheetData>
    <row r="1" spans="1:16" x14ac:dyDescent="0.4">
      <c r="A1" s="1" t="s">
        <v>0</v>
      </c>
      <c r="B1" s="1" t="s">
        <v>1</v>
      </c>
      <c r="C1" s="1" t="s">
        <v>2</v>
      </c>
    </row>
    <row r="2" spans="1:16" x14ac:dyDescent="0.4">
      <c r="A2" s="3" t="s">
        <v>3</v>
      </c>
      <c r="B2" s="1" t="s">
        <v>1</v>
      </c>
      <c r="C2" s="1" t="s">
        <v>2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5" t="s">
        <v>16</v>
      </c>
    </row>
    <row r="3" spans="1:16" x14ac:dyDescent="0.4">
      <c r="A3" s="3"/>
      <c r="B3" s="6" t="s">
        <v>17</v>
      </c>
      <c r="C3" s="3">
        <v>3690</v>
      </c>
      <c r="D3" s="7">
        <v>1</v>
      </c>
      <c r="E3" s="7">
        <v>1</v>
      </c>
      <c r="F3" s="7">
        <v>1</v>
      </c>
      <c r="G3" s="7">
        <v>1</v>
      </c>
      <c r="H3" s="7">
        <v>1</v>
      </c>
      <c r="I3" s="7">
        <v>1</v>
      </c>
      <c r="J3" s="7">
        <v>1</v>
      </c>
      <c r="K3" s="7">
        <v>1</v>
      </c>
      <c r="L3" s="7">
        <v>1</v>
      </c>
      <c r="M3" s="7">
        <v>1</v>
      </c>
      <c r="N3" s="7">
        <v>1</v>
      </c>
      <c r="O3" s="7">
        <v>1</v>
      </c>
      <c r="P3" s="3"/>
    </row>
    <row r="4" spans="1:16" x14ac:dyDescent="0.4">
      <c r="A4" s="3"/>
      <c r="B4" s="6" t="s">
        <v>18</v>
      </c>
      <c r="C4" s="3">
        <v>4130</v>
      </c>
      <c r="D4" s="7">
        <v>80</v>
      </c>
      <c r="E4" s="7">
        <v>80</v>
      </c>
      <c r="F4" s="7">
        <v>80</v>
      </c>
      <c r="G4" s="7">
        <v>80</v>
      </c>
      <c r="H4" s="7">
        <v>80</v>
      </c>
      <c r="I4" s="7">
        <v>80</v>
      </c>
      <c r="J4" s="7">
        <v>80</v>
      </c>
      <c r="K4" s="7">
        <v>80</v>
      </c>
      <c r="L4" s="7">
        <v>80</v>
      </c>
      <c r="M4" s="7">
        <v>80</v>
      </c>
      <c r="N4" s="7">
        <v>80</v>
      </c>
      <c r="O4" s="7">
        <v>80</v>
      </c>
      <c r="P4" s="3"/>
    </row>
    <row r="5" spans="1:16" x14ac:dyDescent="0.4">
      <c r="A5" s="3"/>
      <c r="B5" s="6" t="s">
        <v>19</v>
      </c>
      <c r="C5" s="3">
        <v>6750</v>
      </c>
      <c r="D5" s="7">
        <v>2</v>
      </c>
      <c r="E5" s="7">
        <v>2</v>
      </c>
      <c r="F5" s="7">
        <v>2</v>
      </c>
      <c r="G5" s="7">
        <v>2</v>
      </c>
      <c r="H5" s="7">
        <v>2</v>
      </c>
      <c r="I5" s="7">
        <v>2</v>
      </c>
      <c r="J5" s="7">
        <v>2</v>
      </c>
      <c r="K5" s="7">
        <v>2</v>
      </c>
      <c r="L5" s="7">
        <v>2</v>
      </c>
      <c r="M5" s="7">
        <v>2</v>
      </c>
      <c r="N5" s="7">
        <v>2</v>
      </c>
      <c r="O5" s="7">
        <v>2</v>
      </c>
      <c r="P5" s="3"/>
    </row>
    <row r="6" spans="1:16" x14ac:dyDescent="0.4">
      <c r="A6" s="3"/>
      <c r="B6" s="6" t="s">
        <v>20</v>
      </c>
      <c r="C6" s="3">
        <v>4200</v>
      </c>
      <c r="D6" s="7">
        <v>18</v>
      </c>
      <c r="E6" s="7">
        <v>18</v>
      </c>
      <c r="F6" s="7">
        <v>18</v>
      </c>
      <c r="G6" s="7">
        <v>18</v>
      </c>
      <c r="H6" s="7">
        <v>18</v>
      </c>
      <c r="I6" s="7">
        <v>18</v>
      </c>
      <c r="J6" s="7">
        <v>18</v>
      </c>
      <c r="K6" s="7">
        <v>18</v>
      </c>
      <c r="L6" s="7">
        <v>18</v>
      </c>
      <c r="M6" s="7">
        <v>18</v>
      </c>
      <c r="N6" s="7">
        <v>18</v>
      </c>
      <c r="O6" s="7">
        <v>18</v>
      </c>
      <c r="P6" s="3"/>
    </row>
    <row r="7" spans="1:16" x14ac:dyDescent="0.4">
      <c r="A7" s="3"/>
      <c r="B7" s="6" t="s">
        <v>21</v>
      </c>
      <c r="C7" s="3">
        <v>4010</v>
      </c>
      <c r="D7" s="7">
        <v>70</v>
      </c>
      <c r="E7" s="7">
        <v>70</v>
      </c>
      <c r="F7" s="7">
        <v>70</v>
      </c>
      <c r="G7" s="7">
        <v>70</v>
      </c>
      <c r="H7" s="7">
        <v>70</v>
      </c>
      <c r="I7" s="7">
        <v>70</v>
      </c>
      <c r="J7" s="7">
        <v>70</v>
      </c>
      <c r="K7" s="7">
        <v>70</v>
      </c>
      <c r="L7" s="7">
        <v>70</v>
      </c>
      <c r="M7" s="7">
        <v>70</v>
      </c>
      <c r="N7" s="7">
        <v>70</v>
      </c>
      <c r="O7" s="7">
        <v>70</v>
      </c>
      <c r="P7" s="3"/>
    </row>
    <row r="8" spans="1:16" x14ac:dyDescent="0.4">
      <c r="A8" s="3"/>
      <c r="B8" s="6" t="s">
        <v>22</v>
      </c>
      <c r="C8" s="3">
        <v>3800</v>
      </c>
      <c r="D8" s="7">
        <v>135</v>
      </c>
      <c r="E8" s="7">
        <v>135</v>
      </c>
      <c r="F8" s="7">
        <v>135</v>
      </c>
      <c r="G8" s="7">
        <v>135</v>
      </c>
      <c r="H8" s="7">
        <v>135</v>
      </c>
      <c r="I8" s="7">
        <v>135</v>
      </c>
      <c r="J8" s="7">
        <v>135</v>
      </c>
      <c r="K8" s="7">
        <v>135</v>
      </c>
      <c r="L8" s="7">
        <v>135</v>
      </c>
      <c r="M8" s="7">
        <v>135</v>
      </c>
      <c r="N8" s="7">
        <v>135</v>
      </c>
      <c r="O8" s="7">
        <v>135</v>
      </c>
      <c r="P8" s="3"/>
    </row>
    <row r="9" spans="1:16" x14ac:dyDescent="0.4">
      <c r="A9" s="3"/>
      <c r="B9" s="6" t="s">
        <v>23</v>
      </c>
      <c r="C9" s="3">
        <v>3850</v>
      </c>
      <c r="D9" s="7">
        <v>190</v>
      </c>
      <c r="E9" s="7">
        <v>190</v>
      </c>
      <c r="F9" s="7">
        <v>190</v>
      </c>
      <c r="G9" s="7">
        <v>190</v>
      </c>
      <c r="H9" s="7">
        <v>190</v>
      </c>
      <c r="I9" s="7">
        <v>190</v>
      </c>
      <c r="J9" s="7">
        <v>190</v>
      </c>
      <c r="K9" s="7">
        <v>190</v>
      </c>
      <c r="L9" s="7">
        <v>190</v>
      </c>
      <c r="M9" s="7">
        <v>190</v>
      </c>
      <c r="N9" s="7">
        <v>190</v>
      </c>
      <c r="O9" s="7">
        <v>190</v>
      </c>
      <c r="P9" s="3"/>
    </row>
    <row r="10" spans="1:16" x14ac:dyDescent="0.4">
      <c r="A10" s="3"/>
      <c r="B10" s="6" t="s">
        <v>24</v>
      </c>
      <c r="C10" s="3">
        <v>2630</v>
      </c>
      <c r="D10" s="7">
        <v>100</v>
      </c>
      <c r="E10" s="7">
        <v>100</v>
      </c>
      <c r="F10" s="7">
        <v>100</v>
      </c>
      <c r="G10" s="7">
        <v>100</v>
      </c>
      <c r="H10" s="7">
        <v>100</v>
      </c>
      <c r="I10" s="7">
        <v>100</v>
      </c>
      <c r="J10" s="7">
        <v>100</v>
      </c>
      <c r="K10" s="7">
        <v>100</v>
      </c>
      <c r="L10" s="7">
        <v>100</v>
      </c>
      <c r="M10" s="7">
        <v>100</v>
      </c>
      <c r="N10" s="7">
        <v>100</v>
      </c>
      <c r="O10" s="7">
        <v>100</v>
      </c>
      <c r="P10" s="3"/>
    </row>
    <row r="11" spans="1:16" x14ac:dyDescent="0.4">
      <c r="A11" s="3"/>
      <c r="B11" s="6" t="s">
        <v>25</v>
      </c>
      <c r="C11" s="3">
        <v>4200</v>
      </c>
      <c r="D11" s="7">
        <v>1</v>
      </c>
      <c r="E11" s="7">
        <v>1</v>
      </c>
      <c r="F11" s="7">
        <v>1</v>
      </c>
      <c r="G11" s="7">
        <v>1</v>
      </c>
      <c r="H11" s="7">
        <v>1</v>
      </c>
      <c r="I11" s="7">
        <v>1</v>
      </c>
      <c r="J11" s="7">
        <v>1</v>
      </c>
      <c r="K11" s="7">
        <v>1</v>
      </c>
      <c r="L11" s="7">
        <v>1</v>
      </c>
      <c r="M11" s="7">
        <v>1</v>
      </c>
      <c r="N11" s="7">
        <v>1</v>
      </c>
      <c r="O11" s="7">
        <v>1</v>
      </c>
      <c r="P11" s="3"/>
    </row>
    <row r="14" spans="1:16" x14ac:dyDescent="0.4">
      <c r="A14" s="8" t="s">
        <v>26</v>
      </c>
      <c r="B14" s="1" t="s">
        <v>1</v>
      </c>
      <c r="C14" s="1" t="s">
        <v>2</v>
      </c>
      <c r="D14" s="9" t="s">
        <v>4</v>
      </c>
      <c r="E14" s="9" t="s">
        <v>5</v>
      </c>
      <c r="F14" s="9" t="s">
        <v>6</v>
      </c>
      <c r="G14" s="9" t="s">
        <v>7</v>
      </c>
      <c r="H14" s="9" t="s">
        <v>8</v>
      </c>
      <c r="I14" s="9" t="s">
        <v>9</v>
      </c>
      <c r="J14" s="9" t="s">
        <v>10</v>
      </c>
      <c r="K14" s="9" t="s">
        <v>11</v>
      </c>
      <c r="L14" s="9" t="s">
        <v>12</v>
      </c>
      <c r="M14" s="9" t="s">
        <v>13</v>
      </c>
      <c r="N14" s="9" t="s">
        <v>14</v>
      </c>
      <c r="O14" s="9" t="s">
        <v>15</v>
      </c>
      <c r="P14" s="8" t="s">
        <v>27</v>
      </c>
    </row>
    <row r="15" spans="1:16" x14ac:dyDescent="0.4">
      <c r="A15" s="8"/>
      <c r="B15" s="10" t="s">
        <v>17</v>
      </c>
      <c r="C15" s="8">
        <v>3690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8"/>
    </row>
    <row r="16" spans="1:16" x14ac:dyDescent="0.4">
      <c r="A16" s="8"/>
      <c r="B16" s="10" t="s">
        <v>18</v>
      </c>
      <c r="C16" s="8">
        <v>4130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8"/>
    </row>
    <row r="17" spans="1:16" x14ac:dyDescent="0.4">
      <c r="A17" s="8"/>
      <c r="B17" s="10" t="s">
        <v>19</v>
      </c>
      <c r="C17" s="8">
        <v>6750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8"/>
    </row>
    <row r="18" spans="1:16" x14ac:dyDescent="0.4">
      <c r="A18" s="8"/>
      <c r="B18" s="10" t="s">
        <v>20</v>
      </c>
      <c r="C18" s="8">
        <v>4200</v>
      </c>
      <c r="D18" s="11"/>
      <c r="E18" s="11">
        <v>18</v>
      </c>
      <c r="F18" s="11">
        <v>18</v>
      </c>
      <c r="G18" s="11">
        <v>18</v>
      </c>
      <c r="H18" s="11">
        <v>18</v>
      </c>
      <c r="I18" s="11">
        <v>18</v>
      </c>
      <c r="J18" s="11">
        <v>18</v>
      </c>
      <c r="K18" s="11">
        <v>18</v>
      </c>
      <c r="L18" s="11">
        <v>18</v>
      </c>
      <c r="M18" s="11">
        <v>18</v>
      </c>
      <c r="N18" s="11">
        <v>18</v>
      </c>
      <c r="O18" s="11">
        <v>18</v>
      </c>
      <c r="P18" s="8"/>
    </row>
    <row r="19" spans="1:16" x14ac:dyDescent="0.4">
      <c r="A19" s="8"/>
      <c r="B19" s="10" t="s">
        <v>21</v>
      </c>
      <c r="C19" s="8">
        <v>4010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8"/>
    </row>
    <row r="20" spans="1:16" x14ac:dyDescent="0.4">
      <c r="A20" s="8"/>
      <c r="B20" s="10" t="s">
        <v>22</v>
      </c>
      <c r="C20" s="8">
        <v>3800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8"/>
    </row>
    <row r="21" spans="1:16" x14ac:dyDescent="0.4">
      <c r="A21" s="8"/>
      <c r="B21" s="10" t="s">
        <v>23</v>
      </c>
      <c r="C21" s="8">
        <v>3850</v>
      </c>
      <c r="D21" s="11"/>
      <c r="E21" s="11"/>
      <c r="F21" s="11"/>
      <c r="G21" s="11"/>
      <c r="H21" s="11">
        <v>85</v>
      </c>
      <c r="I21" s="11">
        <v>105</v>
      </c>
      <c r="J21" s="11">
        <v>105</v>
      </c>
      <c r="K21" s="11">
        <v>105</v>
      </c>
      <c r="L21" s="11">
        <v>105</v>
      </c>
      <c r="M21" s="11">
        <v>135</v>
      </c>
      <c r="N21" s="11">
        <v>135</v>
      </c>
      <c r="O21" s="11">
        <v>135</v>
      </c>
      <c r="P21" s="8"/>
    </row>
    <row r="22" spans="1:16" x14ac:dyDescent="0.4">
      <c r="A22" s="8"/>
      <c r="B22" s="10" t="s">
        <v>24</v>
      </c>
      <c r="C22" s="8">
        <v>2630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8"/>
    </row>
    <row r="23" spans="1:16" x14ac:dyDescent="0.4">
      <c r="A23" s="8"/>
      <c r="B23" s="10" t="s">
        <v>25</v>
      </c>
      <c r="C23" s="8">
        <v>4200</v>
      </c>
      <c r="D23" s="11">
        <v>1</v>
      </c>
      <c r="E23" s="11">
        <v>1</v>
      </c>
      <c r="F23" s="11">
        <v>1</v>
      </c>
      <c r="G23" s="11">
        <v>1</v>
      </c>
      <c r="H23" s="11">
        <v>1</v>
      </c>
      <c r="I23" s="11">
        <v>1</v>
      </c>
      <c r="J23" s="11">
        <v>1</v>
      </c>
      <c r="K23" s="11">
        <v>1</v>
      </c>
      <c r="L23" s="11">
        <v>1</v>
      </c>
      <c r="M23" s="11">
        <v>1</v>
      </c>
      <c r="N23" s="11">
        <v>1</v>
      </c>
      <c r="O23" s="11">
        <v>1</v>
      </c>
      <c r="P23" s="8"/>
    </row>
    <row r="25" spans="1:16" x14ac:dyDescent="0.4">
      <c r="B25" s="1" t="s">
        <v>1</v>
      </c>
      <c r="C25" s="1" t="s">
        <v>2</v>
      </c>
    </row>
    <row r="26" spans="1:16" x14ac:dyDescent="0.4">
      <c r="A26" s="12" t="s">
        <v>28</v>
      </c>
      <c r="B26" s="1" t="s">
        <v>1</v>
      </c>
      <c r="C26" s="1" t="s">
        <v>2</v>
      </c>
      <c r="D26" s="13" t="s">
        <v>4</v>
      </c>
      <c r="E26" s="13" t="s">
        <v>5</v>
      </c>
      <c r="F26" s="13" t="s">
        <v>6</v>
      </c>
      <c r="G26" s="13" t="s">
        <v>7</v>
      </c>
      <c r="H26" s="13" t="s">
        <v>8</v>
      </c>
      <c r="I26" s="13" t="s">
        <v>9</v>
      </c>
      <c r="J26" s="13" t="s">
        <v>10</v>
      </c>
      <c r="K26" s="13" t="s">
        <v>11</v>
      </c>
      <c r="L26" s="13" t="s">
        <v>12</v>
      </c>
      <c r="M26" s="13" t="s">
        <v>13</v>
      </c>
      <c r="N26" s="13" t="s">
        <v>14</v>
      </c>
      <c r="O26" s="13" t="s">
        <v>15</v>
      </c>
      <c r="P26" s="12" t="s">
        <v>27</v>
      </c>
    </row>
    <row r="27" spans="1:16" x14ac:dyDescent="0.4">
      <c r="A27" s="12"/>
      <c r="B27" s="14" t="s">
        <v>17</v>
      </c>
      <c r="C27" s="12">
        <v>3690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2"/>
    </row>
    <row r="28" spans="1:16" x14ac:dyDescent="0.4">
      <c r="A28" s="12"/>
      <c r="B28" s="14" t="s">
        <v>18</v>
      </c>
      <c r="C28" s="12">
        <v>4130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2"/>
    </row>
    <row r="29" spans="1:16" x14ac:dyDescent="0.4">
      <c r="A29" s="12"/>
      <c r="B29" s="14" t="s">
        <v>19</v>
      </c>
      <c r="C29" s="12">
        <v>6750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2"/>
    </row>
    <row r="30" spans="1:16" x14ac:dyDescent="0.4">
      <c r="A30" s="12"/>
      <c r="B30" s="14" t="s">
        <v>20</v>
      </c>
      <c r="C30" s="12">
        <v>4200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2"/>
    </row>
    <row r="31" spans="1:16" x14ac:dyDescent="0.4">
      <c r="A31" s="12"/>
      <c r="B31" s="14" t="s">
        <v>21</v>
      </c>
      <c r="C31" s="12">
        <v>4010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2"/>
    </row>
    <row r="32" spans="1:16" x14ac:dyDescent="0.4">
      <c r="A32" s="12"/>
      <c r="B32" s="14" t="s">
        <v>22</v>
      </c>
      <c r="C32" s="12">
        <v>3800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2"/>
    </row>
    <row r="33" spans="1:16" x14ac:dyDescent="0.4">
      <c r="A33" s="12"/>
      <c r="B33" s="14" t="s">
        <v>23</v>
      </c>
      <c r="C33" s="12">
        <v>3850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2"/>
    </row>
    <row r="34" spans="1:16" x14ac:dyDescent="0.4">
      <c r="A34" s="12"/>
      <c r="B34" s="14" t="s">
        <v>24</v>
      </c>
      <c r="C34" s="12">
        <v>2630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2"/>
    </row>
    <row r="35" spans="1:16" x14ac:dyDescent="0.4">
      <c r="A35" s="12"/>
      <c r="B35" s="14" t="s">
        <v>25</v>
      </c>
      <c r="C35" s="12">
        <v>4200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2"/>
    </row>
    <row r="36" spans="1:16" x14ac:dyDescent="0.4">
      <c r="A36" s="12" t="s">
        <v>29</v>
      </c>
      <c r="B36" s="12" t="s">
        <v>30</v>
      </c>
      <c r="C36" s="12">
        <v>3800</v>
      </c>
      <c r="D36" s="15"/>
      <c r="E36" s="15"/>
      <c r="F36" s="15"/>
      <c r="G36" s="15">
        <v>24</v>
      </c>
      <c r="H36" s="15">
        <v>24</v>
      </c>
      <c r="I36" s="15">
        <v>24</v>
      </c>
      <c r="J36" s="15">
        <v>24</v>
      </c>
      <c r="K36" s="15">
        <v>24</v>
      </c>
      <c r="L36" s="15">
        <v>24</v>
      </c>
      <c r="M36" s="15">
        <v>24</v>
      </c>
      <c r="N36" s="15">
        <v>24</v>
      </c>
      <c r="O36" s="15">
        <v>24</v>
      </c>
      <c r="P36" s="12"/>
    </row>
    <row r="37" spans="1:16" x14ac:dyDescent="0.4">
      <c r="A37" s="12"/>
      <c r="B37" s="12" t="s">
        <v>31</v>
      </c>
      <c r="C37" s="12">
        <v>3200</v>
      </c>
      <c r="D37" s="15"/>
      <c r="E37" s="15"/>
      <c r="F37" s="15"/>
      <c r="G37" s="15">
        <v>6</v>
      </c>
      <c r="H37" s="15">
        <v>6</v>
      </c>
      <c r="I37" s="15">
        <v>6</v>
      </c>
      <c r="J37" s="15">
        <v>6</v>
      </c>
      <c r="K37" s="15">
        <v>6</v>
      </c>
      <c r="L37" s="15">
        <v>6</v>
      </c>
      <c r="M37" s="15">
        <v>6</v>
      </c>
      <c r="N37" s="15">
        <v>6</v>
      </c>
      <c r="O37" s="15">
        <v>6</v>
      </c>
      <c r="P37" s="12"/>
    </row>
    <row r="38" spans="1:16" x14ac:dyDescent="0.4">
      <c r="A38" s="12"/>
      <c r="B38" s="12" t="s">
        <v>32</v>
      </c>
      <c r="C38" s="12">
        <v>10000</v>
      </c>
      <c r="D38" s="15">
        <v>20</v>
      </c>
      <c r="E38" s="15">
        <v>20</v>
      </c>
      <c r="F38" s="15">
        <v>20</v>
      </c>
      <c r="G38" s="15">
        <v>20</v>
      </c>
      <c r="H38" s="15">
        <v>20</v>
      </c>
      <c r="I38" s="15">
        <v>20</v>
      </c>
      <c r="J38" s="15">
        <v>20</v>
      </c>
      <c r="K38" s="15">
        <v>20</v>
      </c>
      <c r="L38" s="15">
        <v>20</v>
      </c>
      <c r="M38" s="15">
        <v>20</v>
      </c>
      <c r="N38" s="15">
        <v>20</v>
      </c>
      <c r="O38" s="15">
        <v>20</v>
      </c>
      <c r="P38" s="12"/>
    </row>
    <row r="39" spans="1:16" x14ac:dyDescent="0.4">
      <c r="A39" s="12" t="s">
        <v>33</v>
      </c>
      <c r="B39" s="12" t="s">
        <v>30</v>
      </c>
      <c r="C39" s="12">
        <v>3800</v>
      </c>
      <c r="D39" s="15"/>
      <c r="E39" s="15">
        <v>70</v>
      </c>
      <c r="F39" s="15">
        <v>70</v>
      </c>
      <c r="G39" s="15">
        <v>70</v>
      </c>
      <c r="H39" s="15">
        <v>70</v>
      </c>
      <c r="I39" s="15">
        <v>80</v>
      </c>
      <c r="J39" s="15">
        <v>80</v>
      </c>
      <c r="K39" s="15">
        <v>80</v>
      </c>
      <c r="L39" s="15">
        <v>80</v>
      </c>
      <c r="M39" s="15">
        <v>80</v>
      </c>
      <c r="N39" s="15">
        <v>80</v>
      </c>
      <c r="O39" s="15">
        <v>80</v>
      </c>
      <c r="P39" s="12"/>
    </row>
    <row r="40" spans="1:16" x14ac:dyDescent="0.4">
      <c r="A40" s="12"/>
      <c r="B40" s="12" t="s">
        <v>31</v>
      </c>
      <c r="C40" s="12">
        <v>3200</v>
      </c>
      <c r="D40" s="15"/>
      <c r="E40" s="15">
        <v>10</v>
      </c>
      <c r="F40" s="15">
        <v>10</v>
      </c>
      <c r="G40" s="15">
        <v>10</v>
      </c>
      <c r="H40" s="15">
        <v>10</v>
      </c>
      <c r="I40" s="15">
        <v>20</v>
      </c>
      <c r="J40" s="15">
        <v>20</v>
      </c>
      <c r="K40" s="15">
        <v>20</v>
      </c>
      <c r="L40" s="15">
        <v>20</v>
      </c>
      <c r="M40" s="15">
        <v>20</v>
      </c>
      <c r="N40" s="15">
        <v>20</v>
      </c>
      <c r="O40" s="15">
        <v>20</v>
      </c>
      <c r="P40" s="12"/>
    </row>
    <row r="41" spans="1:16" x14ac:dyDescent="0.4">
      <c r="A41" s="12"/>
      <c r="B41" s="12"/>
      <c r="C41" s="12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2"/>
    </row>
    <row r="42" spans="1:16" x14ac:dyDescent="0.4">
      <c r="A42" s="12"/>
      <c r="B42" s="12"/>
      <c r="C42" s="12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2"/>
    </row>
    <row r="43" spans="1:16" x14ac:dyDescent="0.4">
      <c r="A43" s="16"/>
      <c r="B43" s="17"/>
      <c r="C43" s="16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6"/>
    </row>
    <row r="45" spans="1:16" x14ac:dyDescent="0.4">
      <c r="A45" s="1" t="s">
        <v>34</v>
      </c>
      <c r="B45" s="1" t="s">
        <v>35</v>
      </c>
      <c r="C45" s="1" t="s">
        <v>2</v>
      </c>
    </row>
    <row r="46" spans="1:16" x14ac:dyDescent="0.4">
      <c r="A46" s="19" t="s">
        <v>36</v>
      </c>
      <c r="B46" s="19"/>
      <c r="C46" s="19"/>
      <c r="D46" s="20" t="s">
        <v>4</v>
      </c>
      <c r="E46" s="20" t="s">
        <v>5</v>
      </c>
      <c r="F46" s="20" t="s">
        <v>6</v>
      </c>
      <c r="G46" s="20" t="s">
        <v>7</v>
      </c>
      <c r="H46" s="20" t="s">
        <v>8</v>
      </c>
      <c r="I46" s="20" t="s">
        <v>9</v>
      </c>
      <c r="J46" s="20" t="s">
        <v>10</v>
      </c>
      <c r="K46" s="20" t="s">
        <v>11</v>
      </c>
      <c r="L46" s="20" t="s">
        <v>12</v>
      </c>
      <c r="M46" s="20" t="s">
        <v>13</v>
      </c>
      <c r="N46" s="20" t="s">
        <v>14</v>
      </c>
      <c r="O46" s="20" t="s">
        <v>15</v>
      </c>
      <c r="P46" s="21" t="s">
        <v>16</v>
      </c>
    </row>
    <row r="47" spans="1:16" x14ac:dyDescent="0.4">
      <c r="A47" s="19"/>
      <c r="B47" s="22" t="s">
        <v>17</v>
      </c>
      <c r="C47" s="19">
        <v>3690</v>
      </c>
      <c r="D47" s="23">
        <f t="shared" ref="D47:O47" si="0">D3*$T$3</f>
        <v>0</v>
      </c>
      <c r="E47" s="23">
        <f t="shared" si="0"/>
        <v>0</v>
      </c>
      <c r="F47" s="23">
        <f t="shared" si="0"/>
        <v>0</v>
      </c>
      <c r="G47" s="23">
        <f t="shared" si="0"/>
        <v>0</v>
      </c>
      <c r="H47" s="23">
        <f t="shared" si="0"/>
        <v>0</v>
      </c>
      <c r="I47" s="23">
        <f t="shared" si="0"/>
        <v>0</v>
      </c>
      <c r="J47" s="23">
        <f t="shared" si="0"/>
        <v>0</v>
      </c>
      <c r="K47" s="23">
        <f t="shared" si="0"/>
        <v>0</v>
      </c>
      <c r="L47" s="23">
        <f t="shared" si="0"/>
        <v>0</v>
      </c>
      <c r="M47" s="23">
        <f t="shared" si="0"/>
        <v>0</v>
      </c>
      <c r="N47" s="23">
        <f t="shared" si="0"/>
        <v>0</v>
      </c>
      <c r="O47" s="23">
        <f t="shared" si="0"/>
        <v>0</v>
      </c>
      <c r="P47" s="19"/>
    </row>
    <row r="48" spans="1:16" x14ac:dyDescent="0.4">
      <c r="A48" s="19"/>
      <c r="B48" s="22" t="s">
        <v>18</v>
      </c>
      <c r="C48" s="19">
        <v>4130</v>
      </c>
      <c r="D48" s="23">
        <f t="shared" ref="D48:O48" si="1">D4*$T$4</f>
        <v>0</v>
      </c>
      <c r="E48" s="23">
        <f t="shared" si="1"/>
        <v>0</v>
      </c>
      <c r="F48" s="23">
        <f t="shared" si="1"/>
        <v>0</v>
      </c>
      <c r="G48" s="23">
        <f t="shared" si="1"/>
        <v>0</v>
      </c>
      <c r="H48" s="23">
        <f t="shared" si="1"/>
        <v>0</v>
      </c>
      <c r="I48" s="23">
        <f t="shared" si="1"/>
        <v>0</v>
      </c>
      <c r="J48" s="23">
        <f t="shared" si="1"/>
        <v>0</v>
      </c>
      <c r="K48" s="23">
        <f t="shared" si="1"/>
        <v>0</v>
      </c>
      <c r="L48" s="23">
        <f t="shared" si="1"/>
        <v>0</v>
      </c>
      <c r="M48" s="23">
        <f t="shared" si="1"/>
        <v>0</v>
      </c>
      <c r="N48" s="23">
        <f t="shared" si="1"/>
        <v>0</v>
      </c>
      <c r="O48" s="23">
        <f t="shared" si="1"/>
        <v>0</v>
      </c>
      <c r="P48" s="19"/>
    </row>
    <row r="49" spans="1:16" x14ac:dyDescent="0.4">
      <c r="A49" s="19"/>
      <c r="B49" s="22" t="s">
        <v>19</v>
      </c>
      <c r="C49" s="19">
        <v>6750</v>
      </c>
      <c r="D49" s="23">
        <f t="shared" ref="D49:O49" si="2">D5*$T$5</f>
        <v>0</v>
      </c>
      <c r="E49" s="23">
        <f t="shared" si="2"/>
        <v>0</v>
      </c>
      <c r="F49" s="23">
        <f t="shared" si="2"/>
        <v>0</v>
      </c>
      <c r="G49" s="23">
        <f t="shared" si="2"/>
        <v>0</v>
      </c>
      <c r="H49" s="23">
        <f t="shared" si="2"/>
        <v>0</v>
      </c>
      <c r="I49" s="23">
        <f t="shared" si="2"/>
        <v>0</v>
      </c>
      <c r="J49" s="23">
        <f t="shared" si="2"/>
        <v>0</v>
      </c>
      <c r="K49" s="23">
        <f t="shared" si="2"/>
        <v>0</v>
      </c>
      <c r="L49" s="23">
        <f t="shared" si="2"/>
        <v>0</v>
      </c>
      <c r="M49" s="23">
        <f t="shared" si="2"/>
        <v>0</v>
      </c>
      <c r="N49" s="23">
        <f t="shared" si="2"/>
        <v>0</v>
      </c>
      <c r="O49" s="23">
        <f t="shared" si="2"/>
        <v>0</v>
      </c>
      <c r="P49" s="19"/>
    </row>
    <row r="50" spans="1:16" x14ac:dyDescent="0.4">
      <c r="A50" s="19"/>
      <c r="B50" s="22" t="s">
        <v>20</v>
      </c>
      <c r="C50" s="19">
        <v>4200</v>
      </c>
      <c r="D50" s="23">
        <f t="shared" ref="D50:O50" si="3">D6*$T$6</f>
        <v>0</v>
      </c>
      <c r="E50" s="23">
        <f t="shared" si="3"/>
        <v>0</v>
      </c>
      <c r="F50" s="23">
        <f t="shared" si="3"/>
        <v>0</v>
      </c>
      <c r="G50" s="23">
        <f t="shared" si="3"/>
        <v>0</v>
      </c>
      <c r="H50" s="23">
        <f t="shared" si="3"/>
        <v>0</v>
      </c>
      <c r="I50" s="23">
        <f t="shared" si="3"/>
        <v>0</v>
      </c>
      <c r="J50" s="23">
        <f t="shared" si="3"/>
        <v>0</v>
      </c>
      <c r="K50" s="23">
        <f t="shared" si="3"/>
        <v>0</v>
      </c>
      <c r="L50" s="23">
        <f t="shared" si="3"/>
        <v>0</v>
      </c>
      <c r="M50" s="23">
        <f t="shared" si="3"/>
        <v>0</v>
      </c>
      <c r="N50" s="23">
        <f t="shared" si="3"/>
        <v>0</v>
      </c>
      <c r="O50" s="23">
        <f t="shared" si="3"/>
        <v>0</v>
      </c>
      <c r="P50" s="19"/>
    </row>
    <row r="51" spans="1:16" x14ac:dyDescent="0.4">
      <c r="A51" s="19"/>
      <c r="B51" s="22" t="s">
        <v>21</v>
      </c>
      <c r="C51" s="19">
        <v>4010</v>
      </c>
      <c r="D51" s="23">
        <f t="shared" ref="D51:O51" si="4">D7*$T$7</f>
        <v>0</v>
      </c>
      <c r="E51" s="23">
        <f t="shared" si="4"/>
        <v>0</v>
      </c>
      <c r="F51" s="23">
        <f t="shared" si="4"/>
        <v>0</v>
      </c>
      <c r="G51" s="23">
        <f t="shared" si="4"/>
        <v>0</v>
      </c>
      <c r="H51" s="23">
        <f t="shared" si="4"/>
        <v>0</v>
      </c>
      <c r="I51" s="23">
        <f t="shared" si="4"/>
        <v>0</v>
      </c>
      <c r="J51" s="23">
        <f t="shared" si="4"/>
        <v>0</v>
      </c>
      <c r="K51" s="23">
        <f t="shared" si="4"/>
        <v>0</v>
      </c>
      <c r="L51" s="23">
        <f t="shared" si="4"/>
        <v>0</v>
      </c>
      <c r="M51" s="23">
        <f t="shared" si="4"/>
        <v>0</v>
      </c>
      <c r="N51" s="23">
        <f t="shared" si="4"/>
        <v>0</v>
      </c>
      <c r="O51" s="23">
        <f t="shared" si="4"/>
        <v>0</v>
      </c>
      <c r="P51" s="19"/>
    </row>
    <row r="52" spans="1:16" x14ac:dyDescent="0.4">
      <c r="A52" s="19"/>
      <c r="B52" s="22" t="s">
        <v>22</v>
      </c>
      <c r="C52" s="19">
        <v>3800</v>
      </c>
      <c r="D52" s="23">
        <f t="shared" ref="D52:O52" si="5">D8*$T$8</f>
        <v>0</v>
      </c>
      <c r="E52" s="23">
        <f t="shared" si="5"/>
        <v>0</v>
      </c>
      <c r="F52" s="23">
        <f t="shared" si="5"/>
        <v>0</v>
      </c>
      <c r="G52" s="23">
        <f t="shared" si="5"/>
        <v>0</v>
      </c>
      <c r="H52" s="23">
        <f t="shared" si="5"/>
        <v>0</v>
      </c>
      <c r="I52" s="23">
        <f t="shared" si="5"/>
        <v>0</v>
      </c>
      <c r="J52" s="23">
        <f t="shared" si="5"/>
        <v>0</v>
      </c>
      <c r="K52" s="23">
        <f t="shared" si="5"/>
        <v>0</v>
      </c>
      <c r="L52" s="23">
        <f t="shared" si="5"/>
        <v>0</v>
      </c>
      <c r="M52" s="23">
        <f t="shared" si="5"/>
        <v>0</v>
      </c>
      <c r="N52" s="23">
        <f t="shared" si="5"/>
        <v>0</v>
      </c>
      <c r="O52" s="23">
        <f t="shared" si="5"/>
        <v>0</v>
      </c>
      <c r="P52" s="19"/>
    </row>
    <row r="53" spans="1:16" x14ac:dyDescent="0.4">
      <c r="A53" s="19"/>
      <c r="B53" s="22" t="s">
        <v>23</v>
      </c>
      <c r="C53" s="19">
        <v>3850</v>
      </c>
      <c r="D53" s="23">
        <f t="shared" ref="D53:O53" si="6">D9*$T$9</f>
        <v>0</v>
      </c>
      <c r="E53" s="23">
        <f t="shared" si="6"/>
        <v>0</v>
      </c>
      <c r="F53" s="23">
        <f t="shared" si="6"/>
        <v>0</v>
      </c>
      <c r="G53" s="23">
        <f t="shared" si="6"/>
        <v>0</v>
      </c>
      <c r="H53" s="23">
        <f t="shared" si="6"/>
        <v>0</v>
      </c>
      <c r="I53" s="23">
        <f t="shared" si="6"/>
        <v>0</v>
      </c>
      <c r="J53" s="23">
        <f t="shared" si="6"/>
        <v>0</v>
      </c>
      <c r="K53" s="23">
        <f t="shared" si="6"/>
        <v>0</v>
      </c>
      <c r="L53" s="23">
        <f t="shared" si="6"/>
        <v>0</v>
      </c>
      <c r="M53" s="23">
        <f t="shared" si="6"/>
        <v>0</v>
      </c>
      <c r="N53" s="23">
        <f t="shared" si="6"/>
        <v>0</v>
      </c>
      <c r="O53" s="23">
        <f t="shared" si="6"/>
        <v>0</v>
      </c>
      <c r="P53" s="19"/>
    </row>
    <row r="54" spans="1:16" x14ac:dyDescent="0.4">
      <c r="A54" s="19"/>
      <c r="B54" s="22" t="s">
        <v>24</v>
      </c>
      <c r="C54" s="19">
        <v>2630</v>
      </c>
      <c r="D54" s="23">
        <f t="shared" ref="D54:O54" si="7">D10*$T$10</f>
        <v>0</v>
      </c>
      <c r="E54" s="23">
        <f t="shared" si="7"/>
        <v>0</v>
      </c>
      <c r="F54" s="23">
        <f t="shared" si="7"/>
        <v>0</v>
      </c>
      <c r="G54" s="23">
        <f t="shared" si="7"/>
        <v>0</v>
      </c>
      <c r="H54" s="23">
        <f t="shared" si="7"/>
        <v>0</v>
      </c>
      <c r="I54" s="23">
        <f t="shared" si="7"/>
        <v>0</v>
      </c>
      <c r="J54" s="23">
        <f t="shared" si="7"/>
        <v>0</v>
      </c>
      <c r="K54" s="23">
        <f t="shared" si="7"/>
        <v>0</v>
      </c>
      <c r="L54" s="23">
        <f t="shared" si="7"/>
        <v>0</v>
      </c>
      <c r="M54" s="23">
        <f t="shared" si="7"/>
        <v>0</v>
      </c>
      <c r="N54" s="23">
        <f t="shared" si="7"/>
        <v>0</v>
      </c>
      <c r="O54" s="23">
        <f t="shared" si="7"/>
        <v>0</v>
      </c>
      <c r="P54" s="19"/>
    </row>
    <row r="55" spans="1:16" x14ac:dyDescent="0.4">
      <c r="A55" s="19"/>
      <c r="B55" s="22" t="s">
        <v>25</v>
      </c>
      <c r="C55" s="19">
        <v>4200</v>
      </c>
      <c r="D55" s="23">
        <f t="shared" ref="D55:O55" si="8">D11*$T$11</f>
        <v>0</v>
      </c>
      <c r="E55" s="23">
        <f t="shared" si="8"/>
        <v>0</v>
      </c>
      <c r="F55" s="23">
        <f t="shared" si="8"/>
        <v>0</v>
      </c>
      <c r="G55" s="23">
        <f t="shared" si="8"/>
        <v>0</v>
      </c>
      <c r="H55" s="23">
        <f t="shared" si="8"/>
        <v>0</v>
      </c>
      <c r="I55" s="23">
        <f t="shared" si="8"/>
        <v>0</v>
      </c>
      <c r="J55" s="23">
        <f t="shared" si="8"/>
        <v>0</v>
      </c>
      <c r="K55" s="23">
        <f t="shared" si="8"/>
        <v>0</v>
      </c>
      <c r="L55" s="23">
        <f t="shared" si="8"/>
        <v>0</v>
      </c>
      <c r="M55" s="23">
        <f t="shared" si="8"/>
        <v>0</v>
      </c>
      <c r="N55" s="23">
        <f t="shared" si="8"/>
        <v>0</v>
      </c>
      <c r="O55" s="23">
        <f t="shared" si="8"/>
        <v>0</v>
      </c>
      <c r="P55" s="23">
        <f>SUM(D47:O55)</f>
        <v>0</v>
      </c>
    </row>
    <row r="56" spans="1:16" x14ac:dyDescent="0.4">
      <c r="A56" s="1" t="s">
        <v>37</v>
      </c>
      <c r="B56" s="1" t="s">
        <v>35</v>
      </c>
      <c r="C56" s="1" t="s">
        <v>2</v>
      </c>
    </row>
    <row r="57" spans="1:16" x14ac:dyDescent="0.4">
      <c r="A57" s="24" t="s">
        <v>36</v>
      </c>
      <c r="B57" s="24"/>
      <c r="C57" s="24"/>
      <c r="D57" s="25" t="s">
        <v>4</v>
      </c>
      <c r="E57" s="25" t="s">
        <v>5</v>
      </c>
      <c r="F57" s="25" t="s">
        <v>6</v>
      </c>
      <c r="G57" s="25" t="s">
        <v>7</v>
      </c>
      <c r="H57" s="25" t="s">
        <v>8</v>
      </c>
      <c r="I57" s="25" t="s">
        <v>9</v>
      </c>
      <c r="J57" s="25" t="s">
        <v>10</v>
      </c>
      <c r="K57" s="25" t="s">
        <v>11</v>
      </c>
      <c r="L57" s="25" t="s">
        <v>12</v>
      </c>
      <c r="M57" s="25" t="s">
        <v>13</v>
      </c>
      <c r="N57" s="25" t="s">
        <v>14</v>
      </c>
      <c r="O57" s="25" t="s">
        <v>15</v>
      </c>
      <c r="P57" s="26" t="s">
        <v>16</v>
      </c>
    </row>
    <row r="58" spans="1:16" x14ac:dyDescent="0.4">
      <c r="A58" s="24"/>
      <c r="B58" s="27" t="s">
        <v>17</v>
      </c>
      <c r="C58" s="24">
        <v>3690</v>
      </c>
      <c r="D58" s="28">
        <f t="shared" ref="D58:O58" si="9">D15*$T$15</f>
        <v>0</v>
      </c>
      <c r="E58" s="28">
        <f t="shared" si="9"/>
        <v>0</v>
      </c>
      <c r="F58" s="28">
        <f t="shared" si="9"/>
        <v>0</v>
      </c>
      <c r="G58" s="28">
        <f t="shared" si="9"/>
        <v>0</v>
      </c>
      <c r="H58" s="28">
        <f t="shared" si="9"/>
        <v>0</v>
      </c>
      <c r="I58" s="28">
        <f t="shared" si="9"/>
        <v>0</v>
      </c>
      <c r="J58" s="28">
        <f t="shared" si="9"/>
        <v>0</v>
      </c>
      <c r="K58" s="28">
        <f t="shared" si="9"/>
        <v>0</v>
      </c>
      <c r="L58" s="28">
        <f t="shared" si="9"/>
        <v>0</v>
      </c>
      <c r="M58" s="28">
        <f t="shared" si="9"/>
        <v>0</v>
      </c>
      <c r="N58" s="28">
        <f t="shared" si="9"/>
        <v>0</v>
      </c>
      <c r="O58" s="28">
        <f t="shared" si="9"/>
        <v>0</v>
      </c>
      <c r="P58" s="24"/>
    </row>
    <row r="59" spans="1:16" x14ac:dyDescent="0.4">
      <c r="A59" s="24"/>
      <c r="B59" s="27" t="s">
        <v>18</v>
      </c>
      <c r="C59" s="24">
        <v>4130</v>
      </c>
      <c r="D59" s="28">
        <f t="shared" ref="D59:O59" si="10">D16*$T$16</f>
        <v>0</v>
      </c>
      <c r="E59" s="28">
        <f t="shared" si="10"/>
        <v>0</v>
      </c>
      <c r="F59" s="28">
        <f t="shared" si="10"/>
        <v>0</v>
      </c>
      <c r="G59" s="28">
        <f t="shared" si="10"/>
        <v>0</v>
      </c>
      <c r="H59" s="28">
        <f t="shared" si="10"/>
        <v>0</v>
      </c>
      <c r="I59" s="28">
        <f t="shared" si="10"/>
        <v>0</v>
      </c>
      <c r="J59" s="28">
        <f t="shared" si="10"/>
        <v>0</v>
      </c>
      <c r="K59" s="28">
        <f t="shared" si="10"/>
        <v>0</v>
      </c>
      <c r="L59" s="28">
        <f t="shared" si="10"/>
        <v>0</v>
      </c>
      <c r="M59" s="28">
        <f t="shared" si="10"/>
        <v>0</v>
      </c>
      <c r="N59" s="28">
        <f t="shared" si="10"/>
        <v>0</v>
      </c>
      <c r="O59" s="28">
        <f t="shared" si="10"/>
        <v>0</v>
      </c>
      <c r="P59" s="24"/>
    </row>
    <row r="60" spans="1:16" x14ac:dyDescent="0.4">
      <c r="A60" s="24"/>
      <c r="B60" s="27" t="s">
        <v>19</v>
      </c>
      <c r="C60" s="24">
        <v>6750</v>
      </c>
      <c r="D60" s="28">
        <f t="shared" ref="D60:O60" si="11">D17*$T$17</f>
        <v>0</v>
      </c>
      <c r="E60" s="28">
        <f t="shared" si="11"/>
        <v>0</v>
      </c>
      <c r="F60" s="28">
        <f t="shared" si="11"/>
        <v>0</v>
      </c>
      <c r="G60" s="28">
        <f t="shared" si="11"/>
        <v>0</v>
      </c>
      <c r="H60" s="28">
        <f t="shared" si="11"/>
        <v>0</v>
      </c>
      <c r="I60" s="28">
        <f t="shared" si="11"/>
        <v>0</v>
      </c>
      <c r="J60" s="28">
        <f t="shared" si="11"/>
        <v>0</v>
      </c>
      <c r="K60" s="28">
        <f t="shared" si="11"/>
        <v>0</v>
      </c>
      <c r="L60" s="28">
        <f t="shared" si="11"/>
        <v>0</v>
      </c>
      <c r="M60" s="28">
        <f t="shared" si="11"/>
        <v>0</v>
      </c>
      <c r="N60" s="28">
        <f t="shared" si="11"/>
        <v>0</v>
      </c>
      <c r="O60" s="28">
        <f t="shared" si="11"/>
        <v>0</v>
      </c>
      <c r="P60" s="24"/>
    </row>
    <row r="61" spans="1:16" x14ac:dyDescent="0.4">
      <c r="A61" s="24"/>
      <c r="B61" s="27" t="s">
        <v>20</v>
      </c>
      <c r="C61" s="24">
        <v>4200</v>
      </c>
      <c r="D61" s="28">
        <f t="shared" ref="D61:O61" si="12">D18*$T$18</f>
        <v>0</v>
      </c>
      <c r="E61" s="28">
        <f t="shared" si="12"/>
        <v>0</v>
      </c>
      <c r="F61" s="28">
        <f t="shared" si="12"/>
        <v>0</v>
      </c>
      <c r="G61" s="28">
        <f t="shared" si="12"/>
        <v>0</v>
      </c>
      <c r="H61" s="28">
        <f t="shared" si="12"/>
        <v>0</v>
      </c>
      <c r="I61" s="28">
        <f t="shared" si="12"/>
        <v>0</v>
      </c>
      <c r="J61" s="28">
        <f t="shared" si="12"/>
        <v>0</v>
      </c>
      <c r="K61" s="28">
        <f t="shared" si="12"/>
        <v>0</v>
      </c>
      <c r="L61" s="28">
        <f t="shared" si="12"/>
        <v>0</v>
      </c>
      <c r="M61" s="28">
        <f t="shared" si="12"/>
        <v>0</v>
      </c>
      <c r="N61" s="28">
        <f t="shared" si="12"/>
        <v>0</v>
      </c>
      <c r="O61" s="28">
        <f t="shared" si="12"/>
        <v>0</v>
      </c>
      <c r="P61" s="24"/>
    </row>
    <row r="62" spans="1:16" x14ac:dyDescent="0.4">
      <c r="A62" s="24"/>
      <c r="B62" s="27" t="s">
        <v>21</v>
      </c>
      <c r="C62" s="24">
        <v>4010</v>
      </c>
      <c r="D62" s="28">
        <f t="shared" ref="D62:O62" si="13">D19*$T$19</f>
        <v>0</v>
      </c>
      <c r="E62" s="28">
        <f t="shared" si="13"/>
        <v>0</v>
      </c>
      <c r="F62" s="28">
        <f t="shared" si="13"/>
        <v>0</v>
      </c>
      <c r="G62" s="28">
        <f t="shared" si="13"/>
        <v>0</v>
      </c>
      <c r="H62" s="28">
        <f t="shared" si="13"/>
        <v>0</v>
      </c>
      <c r="I62" s="28">
        <f t="shared" si="13"/>
        <v>0</v>
      </c>
      <c r="J62" s="28">
        <f t="shared" si="13"/>
        <v>0</v>
      </c>
      <c r="K62" s="28">
        <f t="shared" si="13"/>
        <v>0</v>
      </c>
      <c r="L62" s="28">
        <f t="shared" si="13"/>
        <v>0</v>
      </c>
      <c r="M62" s="28">
        <f t="shared" si="13"/>
        <v>0</v>
      </c>
      <c r="N62" s="28">
        <f t="shared" si="13"/>
        <v>0</v>
      </c>
      <c r="O62" s="28">
        <f t="shared" si="13"/>
        <v>0</v>
      </c>
      <c r="P62" s="24"/>
    </row>
    <row r="63" spans="1:16" x14ac:dyDescent="0.4">
      <c r="A63" s="24"/>
      <c r="B63" s="27" t="s">
        <v>22</v>
      </c>
      <c r="C63" s="24">
        <v>3800</v>
      </c>
      <c r="D63" s="28">
        <f t="shared" ref="D63:O63" si="14">D20*$T$20</f>
        <v>0</v>
      </c>
      <c r="E63" s="28">
        <f t="shared" si="14"/>
        <v>0</v>
      </c>
      <c r="F63" s="28">
        <f t="shared" si="14"/>
        <v>0</v>
      </c>
      <c r="G63" s="28">
        <f t="shared" si="14"/>
        <v>0</v>
      </c>
      <c r="H63" s="28">
        <f t="shared" si="14"/>
        <v>0</v>
      </c>
      <c r="I63" s="28">
        <f t="shared" si="14"/>
        <v>0</v>
      </c>
      <c r="J63" s="28">
        <f t="shared" si="14"/>
        <v>0</v>
      </c>
      <c r="K63" s="28">
        <f t="shared" si="14"/>
        <v>0</v>
      </c>
      <c r="L63" s="28">
        <f t="shared" si="14"/>
        <v>0</v>
      </c>
      <c r="M63" s="28">
        <f t="shared" si="14"/>
        <v>0</v>
      </c>
      <c r="N63" s="28">
        <f t="shared" si="14"/>
        <v>0</v>
      </c>
      <c r="O63" s="28">
        <f t="shared" si="14"/>
        <v>0</v>
      </c>
      <c r="P63" s="24"/>
    </row>
    <row r="64" spans="1:16" x14ac:dyDescent="0.4">
      <c r="A64" s="24"/>
      <c r="B64" s="27" t="s">
        <v>23</v>
      </c>
      <c r="C64" s="24">
        <v>3850</v>
      </c>
      <c r="D64" s="28">
        <f t="shared" ref="D64:O64" si="15">D21*$T$21</f>
        <v>0</v>
      </c>
      <c r="E64" s="28">
        <f t="shared" si="15"/>
        <v>0</v>
      </c>
      <c r="F64" s="28">
        <f t="shared" si="15"/>
        <v>0</v>
      </c>
      <c r="G64" s="28">
        <f t="shared" si="15"/>
        <v>0</v>
      </c>
      <c r="H64" s="28">
        <f t="shared" si="15"/>
        <v>0</v>
      </c>
      <c r="I64" s="28">
        <f t="shared" si="15"/>
        <v>0</v>
      </c>
      <c r="J64" s="28">
        <f t="shared" si="15"/>
        <v>0</v>
      </c>
      <c r="K64" s="28">
        <f t="shared" si="15"/>
        <v>0</v>
      </c>
      <c r="L64" s="28">
        <f t="shared" si="15"/>
        <v>0</v>
      </c>
      <c r="M64" s="28">
        <f t="shared" si="15"/>
        <v>0</v>
      </c>
      <c r="N64" s="28">
        <f t="shared" si="15"/>
        <v>0</v>
      </c>
      <c r="O64" s="28">
        <f t="shared" si="15"/>
        <v>0</v>
      </c>
      <c r="P64" s="24"/>
    </row>
    <row r="65" spans="1:16" x14ac:dyDescent="0.4">
      <c r="A65" s="24"/>
      <c r="B65" s="27" t="s">
        <v>24</v>
      </c>
      <c r="C65" s="24">
        <v>2630</v>
      </c>
      <c r="D65" s="28">
        <f t="shared" ref="D65:O65" si="16">D22*$T$22</f>
        <v>0</v>
      </c>
      <c r="E65" s="28">
        <f t="shared" si="16"/>
        <v>0</v>
      </c>
      <c r="F65" s="28">
        <f t="shared" si="16"/>
        <v>0</v>
      </c>
      <c r="G65" s="28">
        <f t="shared" si="16"/>
        <v>0</v>
      </c>
      <c r="H65" s="28">
        <f t="shared" si="16"/>
        <v>0</v>
      </c>
      <c r="I65" s="28">
        <f t="shared" si="16"/>
        <v>0</v>
      </c>
      <c r="J65" s="28">
        <f t="shared" si="16"/>
        <v>0</v>
      </c>
      <c r="K65" s="28">
        <f t="shared" si="16"/>
        <v>0</v>
      </c>
      <c r="L65" s="28">
        <f t="shared" si="16"/>
        <v>0</v>
      </c>
      <c r="M65" s="28">
        <f t="shared" si="16"/>
        <v>0</v>
      </c>
      <c r="N65" s="28">
        <f t="shared" si="16"/>
        <v>0</v>
      </c>
      <c r="O65" s="28">
        <f t="shared" si="16"/>
        <v>0</v>
      </c>
      <c r="P65" s="24"/>
    </row>
    <row r="66" spans="1:16" x14ac:dyDescent="0.4">
      <c r="A66" s="24"/>
      <c r="B66" s="27" t="s">
        <v>25</v>
      </c>
      <c r="C66" s="24">
        <v>4200</v>
      </c>
      <c r="D66" s="28">
        <f t="shared" ref="D66:O66" si="17">D23*$T$23</f>
        <v>0</v>
      </c>
      <c r="E66" s="28">
        <f t="shared" si="17"/>
        <v>0</v>
      </c>
      <c r="F66" s="28">
        <f t="shared" si="17"/>
        <v>0</v>
      </c>
      <c r="G66" s="28">
        <f t="shared" si="17"/>
        <v>0</v>
      </c>
      <c r="H66" s="28">
        <f t="shared" si="17"/>
        <v>0</v>
      </c>
      <c r="I66" s="28">
        <f t="shared" si="17"/>
        <v>0</v>
      </c>
      <c r="J66" s="28">
        <f t="shared" si="17"/>
        <v>0</v>
      </c>
      <c r="K66" s="28">
        <f t="shared" si="17"/>
        <v>0</v>
      </c>
      <c r="L66" s="28">
        <f t="shared" si="17"/>
        <v>0</v>
      </c>
      <c r="M66" s="28">
        <f t="shared" si="17"/>
        <v>0</v>
      </c>
      <c r="N66" s="28">
        <f t="shared" si="17"/>
        <v>0</v>
      </c>
      <c r="O66" s="28">
        <f t="shared" si="17"/>
        <v>0</v>
      </c>
      <c r="P66" s="28">
        <f>SUM(D58:O66)</f>
        <v>0</v>
      </c>
    </row>
    <row r="67" spans="1:16" x14ac:dyDescent="0.4">
      <c r="A67" s="1" t="s">
        <v>29</v>
      </c>
      <c r="B67" s="1" t="s">
        <v>35</v>
      </c>
      <c r="C67" s="1" t="s">
        <v>2</v>
      </c>
    </row>
    <row r="68" spans="1:16" x14ac:dyDescent="0.4">
      <c r="A68" s="12" t="s">
        <v>36</v>
      </c>
      <c r="B68" s="12"/>
      <c r="C68" s="12"/>
      <c r="D68" s="13" t="s">
        <v>4</v>
      </c>
      <c r="E68" s="13" t="s">
        <v>5</v>
      </c>
      <c r="F68" s="13" t="s">
        <v>6</v>
      </c>
      <c r="G68" s="13" t="s">
        <v>7</v>
      </c>
      <c r="H68" s="13" t="s">
        <v>8</v>
      </c>
      <c r="I68" s="13" t="s">
        <v>9</v>
      </c>
      <c r="J68" s="13" t="s">
        <v>10</v>
      </c>
      <c r="K68" s="13" t="s">
        <v>11</v>
      </c>
      <c r="L68" s="13" t="s">
        <v>12</v>
      </c>
      <c r="M68" s="13" t="s">
        <v>13</v>
      </c>
      <c r="N68" s="13" t="s">
        <v>14</v>
      </c>
      <c r="O68" s="13" t="s">
        <v>15</v>
      </c>
      <c r="P68" s="29" t="s">
        <v>16</v>
      </c>
    </row>
    <row r="69" spans="1:16" x14ac:dyDescent="0.4">
      <c r="A69" s="12"/>
      <c r="B69" s="14" t="s">
        <v>17</v>
      </c>
      <c r="C69" s="12">
        <v>3690</v>
      </c>
      <c r="D69" s="15">
        <f t="shared" ref="D69:O69" si="18">D27*$T$27</f>
        <v>0</v>
      </c>
      <c r="E69" s="15">
        <f t="shared" si="18"/>
        <v>0</v>
      </c>
      <c r="F69" s="15">
        <f t="shared" si="18"/>
        <v>0</v>
      </c>
      <c r="G69" s="15">
        <f t="shared" si="18"/>
        <v>0</v>
      </c>
      <c r="H69" s="15">
        <f t="shared" si="18"/>
        <v>0</v>
      </c>
      <c r="I69" s="15">
        <f t="shared" si="18"/>
        <v>0</v>
      </c>
      <c r="J69" s="15">
        <f t="shared" si="18"/>
        <v>0</v>
      </c>
      <c r="K69" s="15">
        <f t="shared" si="18"/>
        <v>0</v>
      </c>
      <c r="L69" s="15">
        <f t="shared" si="18"/>
        <v>0</v>
      </c>
      <c r="M69" s="15">
        <f t="shared" si="18"/>
        <v>0</v>
      </c>
      <c r="N69" s="15">
        <f t="shared" si="18"/>
        <v>0</v>
      </c>
      <c r="O69" s="15">
        <f t="shared" si="18"/>
        <v>0</v>
      </c>
      <c r="P69" s="12"/>
    </row>
    <row r="70" spans="1:16" x14ac:dyDescent="0.4">
      <c r="A70" s="12"/>
      <c r="B70" s="14" t="s">
        <v>18</v>
      </c>
      <c r="C70" s="12">
        <v>4130</v>
      </c>
      <c r="D70" s="15">
        <f t="shared" ref="D70:O70" si="19">D28*$T$28</f>
        <v>0</v>
      </c>
      <c r="E70" s="15">
        <f t="shared" si="19"/>
        <v>0</v>
      </c>
      <c r="F70" s="15">
        <f t="shared" si="19"/>
        <v>0</v>
      </c>
      <c r="G70" s="15">
        <f t="shared" si="19"/>
        <v>0</v>
      </c>
      <c r="H70" s="15">
        <f t="shared" si="19"/>
        <v>0</v>
      </c>
      <c r="I70" s="15">
        <f t="shared" si="19"/>
        <v>0</v>
      </c>
      <c r="J70" s="15">
        <f t="shared" si="19"/>
        <v>0</v>
      </c>
      <c r="K70" s="15">
        <f t="shared" si="19"/>
        <v>0</v>
      </c>
      <c r="L70" s="15">
        <f t="shared" si="19"/>
        <v>0</v>
      </c>
      <c r="M70" s="15">
        <f t="shared" si="19"/>
        <v>0</v>
      </c>
      <c r="N70" s="15">
        <f t="shared" si="19"/>
        <v>0</v>
      </c>
      <c r="O70" s="15">
        <f t="shared" si="19"/>
        <v>0</v>
      </c>
      <c r="P70" s="12"/>
    </row>
    <row r="71" spans="1:16" x14ac:dyDescent="0.4">
      <c r="A71" s="12"/>
      <c r="B71" s="14" t="s">
        <v>19</v>
      </c>
      <c r="C71" s="12">
        <v>6750</v>
      </c>
      <c r="D71" s="15">
        <f t="shared" ref="D71:O71" si="20">D29*$T$29</f>
        <v>0</v>
      </c>
      <c r="E71" s="15">
        <f t="shared" si="20"/>
        <v>0</v>
      </c>
      <c r="F71" s="15">
        <f t="shared" si="20"/>
        <v>0</v>
      </c>
      <c r="G71" s="15">
        <f t="shared" si="20"/>
        <v>0</v>
      </c>
      <c r="H71" s="15">
        <f t="shared" si="20"/>
        <v>0</v>
      </c>
      <c r="I71" s="15">
        <f t="shared" si="20"/>
        <v>0</v>
      </c>
      <c r="J71" s="15">
        <f t="shared" si="20"/>
        <v>0</v>
      </c>
      <c r="K71" s="15">
        <f t="shared" si="20"/>
        <v>0</v>
      </c>
      <c r="L71" s="15">
        <f t="shared" si="20"/>
        <v>0</v>
      </c>
      <c r="M71" s="15">
        <f t="shared" si="20"/>
        <v>0</v>
      </c>
      <c r="N71" s="15">
        <f t="shared" si="20"/>
        <v>0</v>
      </c>
      <c r="O71" s="15">
        <f t="shared" si="20"/>
        <v>0</v>
      </c>
      <c r="P71" s="12"/>
    </row>
    <row r="72" spans="1:16" x14ac:dyDescent="0.4">
      <c r="A72" s="12"/>
      <c r="B72" s="14" t="s">
        <v>20</v>
      </c>
      <c r="C72" s="12">
        <v>4200</v>
      </c>
      <c r="D72" s="15">
        <f t="shared" ref="D72:O72" si="21">D30*$T$30</f>
        <v>0</v>
      </c>
      <c r="E72" s="15">
        <f t="shared" si="21"/>
        <v>0</v>
      </c>
      <c r="F72" s="15">
        <f t="shared" si="21"/>
        <v>0</v>
      </c>
      <c r="G72" s="15">
        <f t="shared" si="21"/>
        <v>0</v>
      </c>
      <c r="H72" s="15">
        <f t="shared" si="21"/>
        <v>0</v>
      </c>
      <c r="I72" s="15">
        <f t="shared" si="21"/>
        <v>0</v>
      </c>
      <c r="J72" s="15">
        <f t="shared" si="21"/>
        <v>0</v>
      </c>
      <c r="K72" s="15">
        <f t="shared" si="21"/>
        <v>0</v>
      </c>
      <c r="L72" s="15">
        <f t="shared" si="21"/>
        <v>0</v>
      </c>
      <c r="M72" s="15">
        <f t="shared" si="21"/>
        <v>0</v>
      </c>
      <c r="N72" s="15">
        <f t="shared" si="21"/>
        <v>0</v>
      </c>
      <c r="O72" s="15">
        <f t="shared" si="21"/>
        <v>0</v>
      </c>
      <c r="P72" s="12"/>
    </row>
    <row r="73" spans="1:16" x14ac:dyDescent="0.4">
      <c r="A73" s="12"/>
      <c r="B73" s="14" t="s">
        <v>21</v>
      </c>
      <c r="C73" s="12">
        <v>4010</v>
      </c>
      <c r="D73" s="15">
        <f t="shared" ref="D73:O73" si="22">D31*$T$31</f>
        <v>0</v>
      </c>
      <c r="E73" s="15">
        <f t="shared" si="22"/>
        <v>0</v>
      </c>
      <c r="F73" s="15">
        <f t="shared" si="22"/>
        <v>0</v>
      </c>
      <c r="G73" s="15">
        <f t="shared" si="22"/>
        <v>0</v>
      </c>
      <c r="H73" s="15">
        <f t="shared" si="22"/>
        <v>0</v>
      </c>
      <c r="I73" s="15">
        <f t="shared" si="22"/>
        <v>0</v>
      </c>
      <c r="J73" s="15">
        <f t="shared" si="22"/>
        <v>0</v>
      </c>
      <c r="K73" s="15">
        <f t="shared" si="22"/>
        <v>0</v>
      </c>
      <c r="L73" s="15">
        <f t="shared" si="22"/>
        <v>0</v>
      </c>
      <c r="M73" s="15">
        <f t="shared" si="22"/>
        <v>0</v>
      </c>
      <c r="N73" s="15">
        <f t="shared" si="22"/>
        <v>0</v>
      </c>
      <c r="O73" s="15">
        <f t="shared" si="22"/>
        <v>0</v>
      </c>
      <c r="P73" s="12"/>
    </row>
    <row r="74" spans="1:16" x14ac:dyDescent="0.4">
      <c r="A74" s="12"/>
      <c r="B74" s="14" t="s">
        <v>22</v>
      </c>
      <c r="C74" s="12">
        <v>3800</v>
      </c>
      <c r="D74" s="15">
        <f t="shared" ref="D74:O74" si="23">D32*$T$32</f>
        <v>0</v>
      </c>
      <c r="E74" s="15">
        <f t="shared" si="23"/>
        <v>0</v>
      </c>
      <c r="F74" s="15">
        <f t="shared" si="23"/>
        <v>0</v>
      </c>
      <c r="G74" s="15">
        <f t="shared" si="23"/>
        <v>0</v>
      </c>
      <c r="H74" s="15">
        <f t="shared" si="23"/>
        <v>0</v>
      </c>
      <c r="I74" s="15">
        <f t="shared" si="23"/>
        <v>0</v>
      </c>
      <c r="J74" s="15">
        <f t="shared" si="23"/>
        <v>0</v>
      </c>
      <c r="K74" s="15">
        <f t="shared" si="23"/>
        <v>0</v>
      </c>
      <c r="L74" s="15">
        <f t="shared" si="23"/>
        <v>0</v>
      </c>
      <c r="M74" s="15">
        <f t="shared" si="23"/>
        <v>0</v>
      </c>
      <c r="N74" s="15">
        <f t="shared" si="23"/>
        <v>0</v>
      </c>
      <c r="O74" s="15">
        <f t="shared" si="23"/>
        <v>0</v>
      </c>
      <c r="P74" s="12"/>
    </row>
    <row r="75" spans="1:16" x14ac:dyDescent="0.4">
      <c r="A75" s="12"/>
      <c r="B75" s="14" t="s">
        <v>23</v>
      </c>
      <c r="C75" s="12">
        <v>3850</v>
      </c>
      <c r="D75" s="15">
        <f t="shared" ref="D75:O75" si="24">D33*$T$33</f>
        <v>0</v>
      </c>
      <c r="E75" s="15">
        <f t="shared" si="24"/>
        <v>0</v>
      </c>
      <c r="F75" s="15">
        <f t="shared" si="24"/>
        <v>0</v>
      </c>
      <c r="G75" s="15">
        <f t="shared" si="24"/>
        <v>0</v>
      </c>
      <c r="H75" s="15">
        <f t="shared" si="24"/>
        <v>0</v>
      </c>
      <c r="I75" s="15">
        <f t="shared" si="24"/>
        <v>0</v>
      </c>
      <c r="J75" s="15">
        <f t="shared" si="24"/>
        <v>0</v>
      </c>
      <c r="K75" s="15">
        <f t="shared" si="24"/>
        <v>0</v>
      </c>
      <c r="L75" s="15">
        <f t="shared" si="24"/>
        <v>0</v>
      </c>
      <c r="M75" s="15">
        <f t="shared" si="24"/>
        <v>0</v>
      </c>
      <c r="N75" s="15">
        <f t="shared" si="24"/>
        <v>0</v>
      </c>
      <c r="O75" s="15">
        <f t="shared" si="24"/>
        <v>0</v>
      </c>
      <c r="P75" s="12"/>
    </row>
    <row r="76" spans="1:16" x14ac:dyDescent="0.4">
      <c r="A76" s="12"/>
      <c r="B76" s="14" t="s">
        <v>24</v>
      </c>
      <c r="C76" s="12">
        <v>2630</v>
      </c>
      <c r="D76" s="15">
        <f t="shared" ref="D76:O76" si="25">D34*$T$34</f>
        <v>0</v>
      </c>
      <c r="E76" s="15">
        <f t="shared" si="25"/>
        <v>0</v>
      </c>
      <c r="F76" s="15">
        <f t="shared" si="25"/>
        <v>0</v>
      </c>
      <c r="G76" s="15">
        <f t="shared" si="25"/>
        <v>0</v>
      </c>
      <c r="H76" s="15">
        <f t="shared" si="25"/>
        <v>0</v>
      </c>
      <c r="I76" s="15">
        <f t="shared" si="25"/>
        <v>0</v>
      </c>
      <c r="J76" s="15">
        <f t="shared" si="25"/>
        <v>0</v>
      </c>
      <c r="K76" s="15">
        <f t="shared" si="25"/>
        <v>0</v>
      </c>
      <c r="L76" s="15">
        <f t="shared" si="25"/>
        <v>0</v>
      </c>
      <c r="M76" s="15">
        <f t="shared" si="25"/>
        <v>0</v>
      </c>
      <c r="N76" s="15">
        <f t="shared" si="25"/>
        <v>0</v>
      </c>
      <c r="O76" s="15">
        <f t="shared" si="25"/>
        <v>0</v>
      </c>
      <c r="P76" s="12"/>
    </row>
    <row r="77" spans="1:16" x14ac:dyDescent="0.4">
      <c r="A77" s="12"/>
      <c r="B77" s="14" t="s">
        <v>25</v>
      </c>
      <c r="C77" s="12">
        <v>4200</v>
      </c>
      <c r="D77" s="15">
        <f t="shared" ref="D77:O77" si="26">D35*$T$35</f>
        <v>0</v>
      </c>
      <c r="E77" s="15">
        <f t="shared" si="26"/>
        <v>0</v>
      </c>
      <c r="F77" s="15">
        <f t="shared" si="26"/>
        <v>0</v>
      </c>
      <c r="G77" s="15">
        <f t="shared" si="26"/>
        <v>0</v>
      </c>
      <c r="H77" s="15">
        <f t="shared" si="26"/>
        <v>0</v>
      </c>
      <c r="I77" s="15">
        <f t="shared" si="26"/>
        <v>0</v>
      </c>
      <c r="J77" s="15">
        <f t="shared" si="26"/>
        <v>0</v>
      </c>
      <c r="K77" s="15">
        <f t="shared" si="26"/>
        <v>0</v>
      </c>
      <c r="L77" s="15">
        <f t="shared" si="26"/>
        <v>0</v>
      </c>
      <c r="M77" s="15">
        <f t="shared" si="26"/>
        <v>0</v>
      </c>
      <c r="N77" s="15">
        <f t="shared" si="26"/>
        <v>0</v>
      </c>
      <c r="O77" s="15">
        <f t="shared" si="26"/>
        <v>0</v>
      </c>
      <c r="P77" s="15">
        <f>SUM(D69:O77)</f>
        <v>0</v>
      </c>
    </row>
    <row r="78" spans="1:16" x14ac:dyDescent="0.4">
      <c r="A78" s="12" t="s">
        <v>29</v>
      </c>
      <c r="B78" s="12" t="s">
        <v>30</v>
      </c>
      <c r="C78" s="12">
        <v>3800</v>
      </c>
      <c r="D78" s="15">
        <f t="shared" ref="D78:O78" si="27">D36*$T$36</f>
        <v>0</v>
      </c>
      <c r="E78" s="15">
        <f t="shared" si="27"/>
        <v>0</v>
      </c>
      <c r="F78" s="15">
        <f t="shared" si="27"/>
        <v>0</v>
      </c>
      <c r="G78" s="15">
        <f t="shared" si="27"/>
        <v>0</v>
      </c>
      <c r="H78" s="15">
        <f t="shared" si="27"/>
        <v>0</v>
      </c>
      <c r="I78" s="15">
        <f t="shared" si="27"/>
        <v>0</v>
      </c>
      <c r="J78" s="15">
        <f t="shared" si="27"/>
        <v>0</v>
      </c>
      <c r="K78" s="15">
        <f t="shared" si="27"/>
        <v>0</v>
      </c>
      <c r="L78" s="15">
        <f t="shared" si="27"/>
        <v>0</v>
      </c>
      <c r="M78" s="15">
        <f t="shared" si="27"/>
        <v>0</v>
      </c>
      <c r="N78" s="15">
        <f t="shared" si="27"/>
        <v>0</v>
      </c>
      <c r="O78" s="15">
        <f t="shared" si="27"/>
        <v>0</v>
      </c>
      <c r="P78" s="15">
        <f>P36*O36</f>
        <v>0</v>
      </c>
    </row>
    <row r="79" spans="1:16" x14ac:dyDescent="0.4">
      <c r="A79" s="12"/>
      <c r="B79" s="12" t="s">
        <v>31</v>
      </c>
      <c r="C79" s="12">
        <v>3200</v>
      </c>
      <c r="D79" s="15">
        <f t="shared" ref="D79:O79" si="28">D37*$T$37</f>
        <v>0</v>
      </c>
      <c r="E79" s="15">
        <f t="shared" si="28"/>
        <v>0</v>
      </c>
      <c r="F79" s="15">
        <f t="shared" si="28"/>
        <v>0</v>
      </c>
      <c r="G79" s="15">
        <f t="shared" si="28"/>
        <v>0</v>
      </c>
      <c r="H79" s="15">
        <f t="shared" si="28"/>
        <v>0</v>
      </c>
      <c r="I79" s="15">
        <f t="shared" si="28"/>
        <v>0</v>
      </c>
      <c r="J79" s="15">
        <f t="shared" si="28"/>
        <v>0</v>
      </c>
      <c r="K79" s="15">
        <f t="shared" si="28"/>
        <v>0</v>
      </c>
      <c r="L79" s="15">
        <f t="shared" si="28"/>
        <v>0</v>
      </c>
      <c r="M79" s="15">
        <f t="shared" si="28"/>
        <v>0</v>
      </c>
      <c r="N79" s="15">
        <f t="shared" si="28"/>
        <v>0</v>
      </c>
      <c r="O79" s="15">
        <f t="shared" si="28"/>
        <v>0</v>
      </c>
      <c r="P79" s="15">
        <f>P37*O37</f>
        <v>0</v>
      </c>
    </row>
    <row r="80" spans="1:16" x14ac:dyDescent="0.4">
      <c r="A80" s="12"/>
      <c r="B80" s="12" t="s">
        <v>32</v>
      </c>
      <c r="C80" s="12">
        <v>10000</v>
      </c>
      <c r="D80" s="15">
        <f t="shared" ref="D80:O82" si="29">D38*$T$38</f>
        <v>0</v>
      </c>
      <c r="E80" s="15">
        <f t="shared" si="29"/>
        <v>0</v>
      </c>
      <c r="F80" s="15">
        <f t="shared" si="29"/>
        <v>0</v>
      </c>
      <c r="G80" s="15">
        <f t="shared" si="29"/>
        <v>0</v>
      </c>
      <c r="H80" s="15">
        <f t="shared" si="29"/>
        <v>0</v>
      </c>
      <c r="I80" s="15">
        <f t="shared" si="29"/>
        <v>0</v>
      </c>
      <c r="J80" s="15">
        <f t="shared" si="29"/>
        <v>0</v>
      </c>
      <c r="K80" s="15">
        <f t="shared" si="29"/>
        <v>0</v>
      </c>
      <c r="L80" s="15">
        <f t="shared" si="29"/>
        <v>0</v>
      </c>
      <c r="M80" s="15">
        <f t="shared" si="29"/>
        <v>0</v>
      </c>
      <c r="N80" s="15">
        <f t="shared" si="29"/>
        <v>0</v>
      </c>
      <c r="O80" s="15">
        <f t="shared" si="29"/>
        <v>0</v>
      </c>
      <c r="P80" s="15">
        <f>P38*O38</f>
        <v>0</v>
      </c>
    </row>
    <row r="81" spans="1:16" x14ac:dyDescent="0.4">
      <c r="A81" s="12" t="s">
        <v>33</v>
      </c>
      <c r="B81" s="12" t="s">
        <v>30</v>
      </c>
      <c r="C81" s="12">
        <v>3800</v>
      </c>
      <c r="D81" s="15">
        <f t="shared" si="29"/>
        <v>0</v>
      </c>
      <c r="E81" s="15">
        <f t="shared" si="29"/>
        <v>0</v>
      </c>
      <c r="F81" s="15">
        <f t="shared" si="29"/>
        <v>0</v>
      </c>
      <c r="G81" s="15">
        <f t="shared" si="29"/>
        <v>0</v>
      </c>
      <c r="H81" s="15">
        <f t="shared" si="29"/>
        <v>0</v>
      </c>
      <c r="I81" s="15">
        <f t="shared" si="29"/>
        <v>0</v>
      </c>
      <c r="J81" s="15">
        <f t="shared" si="29"/>
        <v>0</v>
      </c>
      <c r="K81" s="15">
        <f t="shared" si="29"/>
        <v>0</v>
      </c>
      <c r="L81" s="15">
        <f t="shared" si="29"/>
        <v>0</v>
      </c>
      <c r="M81" s="15">
        <f t="shared" si="29"/>
        <v>0</v>
      </c>
      <c r="N81" s="15">
        <f t="shared" si="29"/>
        <v>0</v>
      </c>
      <c r="O81" s="15">
        <f t="shared" si="29"/>
        <v>0</v>
      </c>
      <c r="P81" s="15"/>
    </row>
    <row r="82" spans="1:16" x14ac:dyDescent="0.4">
      <c r="A82" s="12"/>
      <c r="B82" s="12" t="s">
        <v>31</v>
      </c>
      <c r="C82" s="12">
        <v>3200</v>
      </c>
      <c r="D82" s="15">
        <f t="shared" si="29"/>
        <v>0</v>
      </c>
      <c r="E82" s="15">
        <f t="shared" si="29"/>
        <v>0</v>
      </c>
      <c r="F82" s="15">
        <f t="shared" si="29"/>
        <v>0</v>
      </c>
      <c r="G82" s="15">
        <f t="shared" si="29"/>
        <v>0</v>
      </c>
      <c r="H82" s="15">
        <f t="shared" si="29"/>
        <v>0</v>
      </c>
      <c r="I82" s="15">
        <f t="shared" si="29"/>
        <v>0</v>
      </c>
      <c r="J82" s="15">
        <f t="shared" si="29"/>
        <v>0</v>
      </c>
      <c r="K82" s="15">
        <f t="shared" si="29"/>
        <v>0</v>
      </c>
      <c r="L82" s="15">
        <f t="shared" si="29"/>
        <v>0</v>
      </c>
      <c r="M82" s="15">
        <f t="shared" si="29"/>
        <v>0</v>
      </c>
      <c r="N82" s="15">
        <f t="shared" si="29"/>
        <v>0</v>
      </c>
      <c r="O82" s="15">
        <f t="shared" si="29"/>
        <v>0</v>
      </c>
      <c r="P82" s="15"/>
    </row>
    <row r="83" spans="1:16" x14ac:dyDescent="0.4">
      <c r="B83" s="12"/>
      <c r="C83" s="1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</row>
    <row r="84" spans="1:16" x14ac:dyDescent="0.4">
      <c r="B84" s="12"/>
      <c r="C84" s="1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</row>
    <row r="85" spans="1:16" x14ac:dyDescent="0.4">
      <c r="A85" s="1" t="s">
        <v>38</v>
      </c>
      <c r="B85" s="1" t="s">
        <v>35</v>
      </c>
      <c r="C85" s="1" t="s">
        <v>2</v>
      </c>
    </row>
    <row r="86" spans="1:16" x14ac:dyDescent="0.4">
      <c r="A86" s="30" t="s">
        <v>36</v>
      </c>
      <c r="B86" s="30"/>
      <c r="C86" s="30"/>
      <c r="D86" s="31" t="s">
        <v>4</v>
      </c>
      <c r="E86" s="31" t="s">
        <v>5</v>
      </c>
      <c r="F86" s="31" t="s">
        <v>6</v>
      </c>
      <c r="G86" s="31" t="s">
        <v>7</v>
      </c>
      <c r="H86" s="31" t="s">
        <v>8</v>
      </c>
      <c r="I86" s="31" t="s">
        <v>9</v>
      </c>
      <c r="J86" s="31" t="s">
        <v>10</v>
      </c>
      <c r="K86" s="31" t="s">
        <v>11</v>
      </c>
      <c r="L86" s="31" t="s">
        <v>12</v>
      </c>
      <c r="M86" s="31" t="s">
        <v>13</v>
      </c>
      <c r="N86" s="31" t="s">
        <v>14</v>
      </c>
      <c r="O86" s="31" t="s">
        <v>15</v>
      </c>
      <c r="P86" s="32" t="s">
        <v>16</v>
      </c>
    </row>
    <row r="87" spans="1:16" x14ac:dyDescent="0.4">
      <c r="A87" s="30"/>
      <c r="B87" s="33" t="s">
        <v>17</v>
      </c>
      <c r="C87" s="30">
        <v>3690</v>
      </c>
      <c r="D87" s="34">
        <f t="shared" ref="D87:O95" si="30">D47-D58+D69</f>
        <v>0</v>
      </c>
      <c r="E87" s="34">
        <f t="shared" si="30"/>
        <v>0</v>
      </c>
      <c r="F87" s="34">
        <f t="shared" si="30"/>
        <v>0</v>
      </c>
      <c r="G87" s="34">
        <f t="shared" si="30"/>
        <v>0</v>
      </c>
      <c r="H87" s="34">
        <f t="shared" si="30"/>
        <v>0</v>
      </c>
      <c r="I87" s="34">
        <f t="shared" si="30"/>
        <v>0</v>
      </c>
      <c r="J87" s="34">
        <f t="shared" si="30"/>
        <v>0</v>
      </c>
      <c r="K87" s="34">
        <f t="shared" si="30"/>
        <v>0</v>
      </c>
      <c r="L87" s="34">
        <f t="shared" si="30"/>
        <v>0</v>
      </c>
      <c r="M87" s="34">
        <f t="shared" si="30"/>
        <v>0</v>
      </c>
      <c r="N87" s="34">
        <f t="shared" si="30"/>
        <v>0</v>
      </c>
      <c r="O87" s="34">
        <f t="shared" si="30"/>
        <v>0</v>
      </c>
      <c r="P87" s="30"/>
    </row>
    <row r="88" spans="1:16" x14ac:dyDescent="0.4">
      <c r="A88" s="30"/>
      <c r="B88" s="33" t="s">
        <v>18</v>
      </c>
      <c r="C88" s="30">
        <v>4130</v>
      </c>
      <c r="D88" s="34">
        <f t="shared" si="30"/>
        <v>0</v>
      </c>
      <c r="E88" s="34">
        <f t="shared" si="30"/>
        <v>0</v>
      </c>
      <c r="F88" s="34">
        <f t="shared" si="30"/>
        <v>0</v>
      </c>
      <c r="G88" s="34">
        <f t="shared" si="30"/>
        <v>0</v>
      </c>
      <c r="H88" s="34">
        <f t="shared" si="30"/>
        <v>0</v>
      </c>
      <c r="I88" s="34">
        <f t="shared" si="30"/>
        <v>0</v>
      </c>
      <c r="J88" s="34">
        <f t="shared" si="30"/>
        <v>0</v>
      </c>
      <c r="K88" s="34">
        <f t="shared" si="30"/>
        <v>0</v>
      </c>
      <c r="L88" s="34">
        <f t="shared" si="30"/>
        <v>0</v>
      </c>
      <c r="M88" s="34">
        <f t="shared" si="30"/>
        <v>0</v>
      </c>
      <c r="N88" s="34">
        <f t="shared" si="30"/>
        <v>0</v>
      </c>
      <c r="O88" s="34">
        <f t="shared" si="30"/>
        <v>0</v>
      </c>
      <c r="P88" s="30"/>
    </row>
    <row r="89" spans="1:16" x14ac:dyDescent="0.4">
      <c r="A89" s="30"/>
      <c r="B89" s="33" t="s">
        <v>19</v>
      </c>
      <c r="C89" s="30">
        <v>6750</v>
      </c>
      <c r="D89" s="34">
        <f t="shared" si="30"/>
        <v>0</v>
      </c>
      <c r="E89" s="34">
        <f t="shared" si="30"/>
        <v>0</v>
      </c>
      <c r="F89" s="34">
        <f t="shared" si="30"/>
        <v>0</v>
      </c>
      <c r="G89" s="34">
        <f t="shared" si="30"/>
        <v>0</v>
      </c>
      <c r="H89" s="34">
        <f t="shared" si="30"/>
        <v>0</v>
      </c>
      <c r="I89" s="34">
        <f t="shared" si="30"/>
        <v>0</v>
      </c>
      <c r="J89" s="34">
        <f t="shared" si="30"/>
        <v>0</v>
      </c>
      <c r="K89" s="34">
        <f t="shared" si="30"/>
        <v>0</v>
      </c>
      <c r="L89" s="34">
        <f t="shared" si="30"/>
        <v>0</v>
      </c>
      <c r="M89" s="34">
        <f t="shared" si="30"/>
        <v>0</v>
      </c>
      <c r="N89" s="34">
        <f t="shared" si="30"/>
        <v>0</v>
      </c>
      <c r="O89" s="34">
        <f t="shared" si="30"/>
        <v>0</v>
      </c>
      <c r="P89" s="30"/>
    </row>
    <row r="90" spans="1:16" x14ac:dyDescent="0.4">
      <c r="A90" s="30"/>
      <c r="B90" s="33" t="s">
        <v>20</v>
      </c>
      <c r="C90" s="30">
        <v>4200</v>
      </c>
      <c r="D90" s="34">
        <f t="shared" si="30"/>
        <v>0</v>
      </c>
      <c r="E90" s="34">
        <f t="shared" si="30"/>
        <v>0</v>
      </c>
      <c r="F90" s="34">
        <f t="shared" si="30"/>
        <v>0</v>
      </c>
      <c r="G90" s="34">
        <f t="shared" si="30"/>
        <v>0</v>
      </c>
      <c r="H90" s="34">
        <f t="shared" si="30"/>
        <v>0</v>
      </c>
      <c r="I90" s="34">
        <f t="shared" si="30"/>
        <v>0</v>
      </c>
      <c r="J90" s="34">
        <f t="shared" si="30"/>
        <v>0</v>
      </c>
      <c r="K90" s="34">
        <f t="shared" si="30"/>
        <v>0</v>
      </c>
      <c r="L90" s="34">
        <f t="shared" si="30"/>
        <v>0</v>
      </c>
      <c r="M90" s="34">
        <f t="shared" si="30"/>
        <v>0</v>
      </c>
      <c r="N90" s="34">
        <f t="shared" si="30"/>
        <v>0</v>
      </c>
      <c r="O90" s="34">
        <f t="shared" si="30"/>
        <v>0</v>
      </c>
      <c r="P90" s="30"/>
    </row>
    <row r="91" spans="1:16" x14ac:dyDescent="0.4">
      <c r="A91" s="30"/>
      <c r="B91" s="33" t="s">
        <v>21</v>
      </c>
      <c r="C91" s="30">
        <v>4010</v>
      </c>
      <c r="D91" s="34">
        <f t="shared" si="30"/>
        <v>0</v>
      </c>
      <c r="E91" s="34">
        <f t="shared" si="30"/>
        <v>0</v>
      </c>
      <c r="F91" s="34">
        <f t="shared" si="30"/>
        <v>0</v>
      </c>
      <c r="G91" s="34">
        <f t="shared" si="30"/>
        <v>0</v>
      </c>
      <c r="H91" s="34">
        <f t="shared" si="30"/>
        <v>0</v>
      </c>
      <c r="I91" s="34">
        <f t="shared" si="30"/>
        <v>0</v>
      </c>
      <c r="J91" s="34">
        <f t="shared" si="30"/>
        <v>0</v>
      </c>
      <c r="K91" s="34">
        <f t="shared" si="30"/>
        <v>0</v>
      </c>
      <c r="L91" s="34">
        <f t="shared" si="30"/>
        <v>0</v>
      </c>
      <c r="M91" s="34">
        <f t="shared" si="30"/>
        <v>0</v>
      </c>
      <c r="N91" s="34">
        <f t="shared" si="30"/>
        <v>0</v>
      </c>
      <c r="O91" s="34">
        <f t="shared" si="30"/>
        <v>0</v>
      </c>
      <c r="P91" s="30"/>
    </row>
    <row r="92" spans="1:16" x14ac:dyDescent="0.4">
      <c r="A92" s="30"/>
      <c r="B92" s="33" t="s">
        <v>22</v>
      </c>
      <c r="C92" s="30">
        <v>3800</v>
      </c>
      <c r="D92" s="34">
        <f t="shared" si="30"/>
        <v>0</v>
      </c>
      <c r="E92" s="34">
        <f t="shared" si="30"/>
        <v>0</v>
      </c>
      <c r="F92" s="34">
        <f t="shared" si="30"/>
        <v>0</v>
      </c>
      <c r="G92" s="34">
        <f t="shared" si="30"/>
        <v>0</v>
      </c>
      <c r="H92" s="34">
        <f t="shared" si="30"/>
        <v>0</v>
      </c>
      <c r="I92" s="34">
        <f t="shared" si="30"/>
        <v>0</v>
      </c>
      <c r="J92" s="34">
        <f t="shared" si="30"/>
        <v>0</v>
      </c>
      <c r="K92" s="34">
        <f t="shared" si="30"/>
        <v>0</v>
      </c>
      <c r="L92" s="34">
        <f t="shared" si="30"/>
        <v>0</v>
      </c>
      <c r="M92" s="34">
        <f t="shared" si="30"/>
        <v>0</v>
      </c>
      <c r="N92" s="34">
        <f t="shared" si="30"/>
        <v>0</v>
      </c>
      <c r="O92" s="34">
        <f t="shared" si="30"/>
        <v>0</v>
      </c>
      <c r="P92" s="30"/>
    </row>
    <row r="93" spans="1:16" x14ac:dyDescent="0.4">
      <c r="A93" s="30"/>
      <c r="B93" s="33" t="s">
        <v>23</v>
      </c>
      <c r="C93" s="30">
        <v>3850</v>
      </c>
      <c r="D93" s="34">
        <f t="shared" si="30"/>
        <v>0</v>
      </c>
      <c r="E93" s="34">
        <f t="shared" si="30"/>
        <v>0</v>
      </c>
      <c r="F93" s="34">
        <f t="shared" si="30"/>
        <v>0</v>
      </c>
      <c r="G93" s="34">
        <f t="shared" si="30"/>
        <v>0</v>
      </c>
      <c r="H93" s="34">
        <f t="shared" si="30"/>
        <v>0</v>
      </c>
      <c r="I93" s="34">
        <f t="shared" si="30"/>
        <v>0</v>
      </c>
      <c r="J93" s="34">
        <f t="shared" si="30"/>
        <v>0</v>
      </c>
      <c r="K93" s="34">
        <f t="shared" si="30"/>
        <v>0</v>
      </c>
      <c r="L93" s="34">
        <f t="shared" si="30"/>
        <v>0</v>
      </c>
      <c r="M93" s="34">
        <f t="shared" si="30"/>
        <v>0</v>
      </c>
      <c r="N93" s="34">
        <f t="shared" si="30"/>
        <v>0</v>
      </c>
      <c r="O93" s="34">
        <f t="shared" si="30"/>
        <v>0</v>
      </c>
      <c r="P93" s="30"/>
    </row>
    <row r="94" spans="1:16" x14ac:dyDescent="0.4">
      <c r="A94" s="30"/>
      <c r="B94" s="33" t="s">
        <v>24</v>
      </c>
      <c r="C94" s="30">
        <v>2630</v>
      </c>
      <c r="D94" s="34">
        <f t="shared" si="30"/>
        <v>0</v>
      </c>
      <c r="E94" s="34">
        <f t="shared" si="30"/>
        <v>0</v>
      </c>
      <c r="F94" s="34">
        <f t="shared" si="30"/>
        <v>0</v>
      </c>
      <c r="G94" s="34">
        <f t="shared" si="30"/>
        <v>0</v>
      </c>
      <c r="H94" s="34">
        <f t="shared" si="30"/>
        <v>0</v>
      </c>
      <c r="I94" s="34">
        <f t="shared" si="30"/>
        <v>0</v>
      </c>
      <c r="J94" s="34">
        <f t="shared" si="30"/>
        <v>0</v>
      </c>
      <c r="K94" s="34">
        <f t="shared" si="30"/>
        <v>0</v>
      </c>
      <c r="L94" s="34">
        <f t="shared" si="30"/>
        <v>0</v>
      </c>
      <c r="M94" s="34">
        <f t="shared" si="30"/>
        <v>0</v>
      </c>
      <c r="N94" s="34">
        <f t="shared" si="30"/>
        <v>0</v>
      </c>
      <c r="O94" s="34">
        <f t="shared" si="30"/>
        <v>0</v>
      </c>
      <c r="P94" s="30"/>
    </row>
    <row r="95" spans="1:16" x14ac:dyDescent="0.4">
      <c r="A95" s="30"/>
      <c r="B95" s="33" t="s">
        <v>25</v>
      </c>
      <c r="C95" s="30">
        <v>4200</v>
      </c>
      <c r="D95" s="34">
        <f t="shared" si="30"/>
        <v>0</v>
      </c>
      <c r="E95" s="34">
        <f t="shared" si="30"/>
        <v>0</v>
      </c>
      <c r="F95" s="34">
        <f t="shared" si="30"/>
        <v>0</v>
      </c>
      <c r="G95" s="34">
        <f t="shared" si="30"/>
        <v>0</v>
      </c>
      <c r="H95" s="34">
        <f t="shared" si="30"/>
        <v>0</v>
      </c>
      <c r="I95" s="34">
        <f t="shared" si="30"/>
        <v>0</v>
      </c>
      <c r="J95" s="34">
        <f t="shared" si="30"/>
        <v>0</v>
      </c>
      <c r="K95" s="34">
        <f t="shared" si="30"/>
        <v>0</v>
      </c>
      <c r="L95" s="34">
        <f t="shared" si="30"/>
        <v>0</v>
      </c>
      <c r="M95" s="34">
        <f t="shared" si="30"/>
        <v>0</v>
      </c>
      <c r="N95" s="34">
        <f t="shared" si="30"/>
        <v>0</v>
      </c>
      <c r="O95" s="34">
        <f t="shared" si="30"/>
        <v>0</v>
      </c>
      <c r="P95" s="34">
        <f>SUM(D87:O95)</f>
        <v>0</v>
      </c>
    </row>
    <row r="96" spans="1:16" x14ac:dyDescent="0.4">
      <c r="A96" s="12" t="s">
        <v>29</v>
      </c>
      <c r="B96" s="12" t="s">
        <v>30</v>
      </c>
      <c r="C96" s="12">
        <v>3800</v>
      </c>
      <c r="D96" s="15">
        <f>D78</f>
        <v>0</v>
      </c>
      <c r="E96" s="15">
        <f t="shared" ref="E96:O96" si="31">E78</f>
        <v>0</v>
      </c>
      <c r="F96" s="15">
        <f t="shared" si="31"/>
        <v>0</v>
      </c>
      <c r="G96" s="15">
        <f t="shared" si="31"/>
        <v>0</v>
      </c>
      <c r="H96" s="15">
        <f t="shared" si="31"/>
        <v>0</v>
      </c>
      <c r="I96" s="15">
        <f t="shared" si="31"/>
        <v>0</v>
      </c>
      <c r="J96" s="15">
        <f t="shared" si="31"/>
        <v>0</v>
      </c>
      <c r="K96" s="15">
        <f t="shared" si="31"/>
        <v>0</v>
      </c>
      <c r="L96" s="15">
        <f t="shared" si="31"/>
        <v>0</v>
      </c>
      <c r="M96" s="15">
        <f t="shared" si="31"/>
        <v>0</v>
      </c>
      <c r="N96" s="15">
        <f t="shared" si="31"/>
        <v>0</v>
      </c>
      <c r="O96" s="15">
        <f t="shared" si="31"/>
        <v>0</v>
      </c>
      <c r="P96" s="15">
        <f>P54*O54</f>
        <v>0</v>
      </c>
    </row>
    <row r="97" spans="1:16" x14ac:dyDescent="0.4">
      <c r="A97" s="12"/>
      <c r="B97" s="12" t="s">
        <v>31</v>
      </c>
      <c r="C97" s="12">
        <v>3200</v>
      </c>
      <c r="D97" s="15">
        <f t="shared" ref="D97:O100" si="32">D79</f>
        <v>0</v>
      </c>
      <c r="E97" s="15">
        <f t="shared" si="32"/>
        <v>0</v>
      </c>
      <c r="F97" s="15">
        <f t="shared" si="32"/>
        <v>0</v>
      </c>
      <c r="G97" s="15">
        <f t="shared" si="32"/>
        <v>0</v>
      </c>
      <c r="H97" s="15">
        <f t="shared" si="32"/>
        <v>0</v>
      </c>
      <c r="I97" s="15">
        <f t="shared" si="32"/>
        <v>0</v>
      </c>
      <c r="J97" s="15">
        <f t="shared" si="32"/>
        <v>0</v>
      </c>
      <c r="K97" s="15">
        <f t="shared" si="32"/>
        <v>0</v>
      </c>
      <c r="L97" s="15">
        <f t="shared" si="32"/>
        <v>0</v>
      </c>
      <c r="M97" s="15">
        <f t="shared" si="32"/>
        <v>0</v>
      </c>
      <c r="N97" s="15">
        <f t="shared" si="32"/>
        <v>0</v>
      </c>
      <c r="O97" s="15">
        <f t="shared" si="32"/>
        <v>0</v>
      </c>
      <c r="P97" s="15"/>
    </row>
    <row r="98" spans="1:16" x14ac:dyDescent="0.4">
      <c r="A98" s="12"/>
      <c r="B98" s="12" t="s">
        <v>32</v>
      </c>
      <c r="C98" s="12">
        <v>10000</v>
      </c>
      <c r="D98" s="15">
        <f t="shared" si="32"/>
        <v>0</v>
      </c>
      <c r="E98" s="15">
        <f t="shared" si="32"/>
        <v>0</v>
      </c>
      <c r="F98" s="15">
        <f t="shared" si="32"/>
        <v>0</v>
      </c>
      <c r="G98" s="15">
        <f t="shared" si="32"/>
        <v>0</v>
      </c>
      <c r="H98" s="15">
        <f t="shared" si="32"/>
        <v>0</v>
      </c>
      <c r="I98" s="15">
        <f t="shared" si="32"/>
        <v>0</v>
      </c>
      <c r="J98" s="15">
        <f t="shared" si="32"/>
        <v>0</v>
      </c>
      <c r="K98" s="15">
        <f t="shared" si="32"/>
        <v>0</v>
      </c>
      <c r="L98" s="15">
        <f t="shared" si="32"/>
        <v>0</v>
      </c>
      <c r="M98" s="15">
        <f t="shared" si="32"/>
        <v>0</v>
      </c>
      <c r="N98" s="15">
        <f t="shared" si="32"/>
        <v>0</v>
      </c>
      <c r="O98" s="15">
        <f t="shared" si="32"/>
        <v>0</v>
      </c>
      <c r="P98" s="15">
        <f>P56*O56</f>
        <v>0</v>
      </c>
    </row>
    <row r="99" spans="1:16" x14ac:dyDescent="0.4">
      <c r="A99" s="12" t="s">
        <v>33</v>
      </c>
      <c r="B99" s="12" t="s">
        <v>30</v>
      </c>
      <c r="C99" s="12">
        <v>3800</v>
      </c>
      <c r="D99" s="15">
        <f t="shared" si="32"/>
        <v>0</v>
      </c>
      <c r="E99" s="15">
        <f t="shared" si="32"/>
        <v>0</v>
      </c>
      <c r="F99" s="15">
        <f t="shared" si="32"/>
        <v>0</v>
      </c>
      <c r="G99" s="15">
        <f t="shared" si="32"/>
        <v>0</v>
      </c>
      <c r="H99" s="15">
        <f t="shared" si="32"/>
        <v>0</v>
      </c>
      <c r="I99" s="15">
        <f t="shared" si="32"/>
        <v>0</v>
      </c>
      <c r="J99" s="15">
        <f t="shared" si="32"/>
        <v>0</v>
      </c>
      <c r="K99" s="15">
        <f t="shared" si="32"/>
        <v>0</v>
      </c>
      <c r="L99" s="15">
        <f t="shared" si="32"/>
        <v>0</v>
      </c>
      <c r="M99" s="15">
        <f t="shared" si="32"/>
        <v>0</v>
      </c>
      <c r="N99" s="15">
        <f t="shared" si="32"/>
        <v>0</v>
      </c>
      <c r="O99" s="15">
        <f t="shared" si="32"/>
        <v>0</v>
      </c>
      <c r="P99" s="15"/>
    </row>
    <row r="100" spans="1:16" x14ac:dyDescent="0.4">
      <c r="A100" s="12"/>
      <c r="B100" s="12" t="s">
        <v>31</v>
      </c>
      <c r="C100" s="12">
        <v>3200</v>
      </c>
      <c r="D100" s="15">
        <f t="shared" si="32"/>
        <v>0</v>
      </c>
      <c r="E100" s="15">
        <f t="shared" si="32"/>
        <v>0</v>
      </c>
      <c r="F100" s="15">
        <f t="shared" si="32"/>
        <v>0</v>
      </c>
      <c r="G100" s="15">
        <f t="shared" si="32"/>
        <v>0</v>
      </c>
      <c r="H100" s="15">
        <f t="shared" si="32"/>
        <v>0</v>
      </c>
      <c r="I100" s="15">
        <f t="shared" si="32"/>
        <v>0</v>
      </c>
      <c r="J100" s="15">
        <f t="shared" si="32"/>
        <v>0</v>
      </c>
      <c r="K100" s="15">
        <f t="shared" si="32"/>
        <v>0</v>
      </c>
      <c r="L100" s="15">
        <f t="shared" si="32"/>
        <v>0</v>
      </c>
      <c r="M100" s="15">
        <f t="shared" si="32"/>
        <v>0</v>
      </c>
      <c r="N100" s="15">
        <f t="shared" si="32"/>
        <v>0</v>
      </c>
      <c r="O100" s="15">
        <f t="shared" si="32"/>
        <v>0</v>
      </c>
      <c r="P100" s="15">
        <f>SUM(D87:O100)</f>
        <v>0</v>
      </c>
    </row>
    <row r="102" spans="1:16" x14ac:dyDescent="0.4">
      <c r="A102" t="s">
        <v>39</v>
      </c>
      <c r="B102" t="s">
        <v>18</v>
      </c>
      <c r="D102" s="2">
        <v>330400</v>
      </c>
      <c r="E102" s="2">
        <v>330400</v>
      </c>
      <c r="F102" s="2">
        <v>330400</v>
      </c>
      <c r="G102" s="2">
        <v>330400</v>
      </c>
      <c r="H102" s="2">
        <v>330400</v>
      </c>
      <c r="I102" s="2">
        <v>330400</v>
      </c>
      <c r="J102" s="2">
        <v>330400</v>
      </c>
      <c r="K102" s="2">
        <v>330400</v>
      </c>
      <c r="L102" s="2">
        <v>330400</v>
      </c>
      <c r="M102" s="2">
        <v>330400</v>
      </c>
      <c r="N102" s="2">
        <v>330400</v>
      </c>
      <c r="O102" s="2">
        <v>330400</v>
      </c>
      <c r="P102" s="2">
        <f>SUM(C102:O102)</f>
        <v>3964800</v>
      </c>
    </row>
    <row r="103" spans="1:16" x14ac:dyDescent="0.4">
      <c r="A103" t="s">
        <v>40</v>
      </c>
      <c r="B103" t="s">
        <v>41</v>
      </c>
      <c r="D103" s="2">
        <v>731500</v>
      </c>
      <c r="E103" s="2">
        <v>731500</v>
      </c>
      <c r="F103" s="2">
        <v>731500</v>
      </c>
      <c r="G103" s="2">
        <v>731500</v>
      </c>
      <c r="H103" s="2">
        <v>404250</v>
      </c>
      <c r="I103" s="2">
        <v>327250</v>
      </c>
      <c r="J103" s="2">
        <v>327250</v>
      </c>
      <c r="K103" s="2">
        <v>327250</v>
      </c>
      <c r="L103" s="2">
        <v>327250</v>
      </c>
      <c r="M103" s="2">
        <v>211750</v>
      </c>
      <c r="N103" s="2">
        <v>211750</v>
      </c>
      <c r="O103" s="2">
        <v>211750</v>
      </c>
      <c r="P103" s="2"/>
    </row>
    <row r="104" spans="1:16" x14ac:dyDescent="0.4">
      <c r="A104"/>
      <c r="B104" t="s">
        <v>42</v>
      </c>
      <c r="D104" s="2">
        <v>280700</v>
      </c>
      <c r="E104" s="2">
        <v>280700</v>
      </c>
      <c r="F104" s="2">
        <v>280700</v>
      </c>
      <c r="G104" s="2">
        <v>280700</v>
      </c>
      <c r="H104" s="2">
        <v>280700</v>
      </c>
      <c r="I104" s="2">
        <v>280700</v>
      </c>
      <c r="J104" s="2">
        <v>280700</v>
      </c>
      <c r="K104" s="2">
        <v>280700</v>
      </c>
      <c r="L104" s="2">
        <v>280700</v>
      </c>
      <c r="M104" s="2">
        <v>280700</v>
      </c>
      <c r="N104" s="2">
        <v>280700</v>
      </c>
      <c r="O104" s="2">
        <v>280700</v>
      </c>
      <c r="P104" s="2"/>
    </row>
    <row r="105" spans="1:16" x14ac:dyDescent="0.4">
      <c r="A105"/>
      <c r="B105" t="s">
        <v>22</v>
      </c>
      <c r="D105" s="2">
        <v>513000</v>
      </c>
      <c r="E105" s="2">
        <v>513000</v>
      </c>
      <c r="F105" s="2">
        <v>513000</v>
      </c>
      <c r="G105" s="2">
        <v>513000</v>
      </c>
      <c r="H105" s="2">
        <v>513000</v>
      </c>
      <c r="I105" s="2">
        <v>513000</v>
      </c>
      <c r="J105" s="2">
        <v>513000</v>
      </c>
      <c r="K105" s="2">
        <v>513000</v>
      </c>
      <c r="L105" s="2">
        <v>513000</v>
      </c>
      <c r="M105" s="2">
        <v>513000</v>
      </c>
      <c r="N105" s="2">
        <v>513000</v>
      </c>
      <c r="O105" s="2">
        <v>513000</v>
      </c>
      <c r="P105" s="2"/>
    </row>
    <row r="106" spans="1:16" x14ac:dyDescent="0.4">
      <c r="D106" s="2">
        <f>SUM(D103:D105)</f>
        <v>1525200</v>
      </c>
      <c r="E106" s="2">
        <f t="shared" ref="E106:N106" si="33">SUM(E103:E105)</f>
        <v>1525200</v>
      </c>
      <c r="F106" s="2">
        <f t="shared" si="33"/>
        <v>1525200</v>
      </c>
      <c r="G106" s="2">
        <f t="shared" si="33"/>
        <v>1525200</v>
      </c>
      <c r="H106" s="2">
        <f t="shared" si="33"/>
        <v>1197950</v>
      </c>
      <c r="I106" s="2">
        <f t="shared" si="33"/>
        <v>1120950</v>
      </c>
      <c r="J106" s="2">
        <f t="shared" si="33"/>
        <v>1120950</v>
      </c>
      <c r="K106" s="2">
        <f t="shared" si="33"/>
        <v>1120950</v>
      </c>
      <c r="L106" s="2">
        <f t="shared" si="33"/>
        <v>1120950</v>
      </c>
      <c r="M106" s="2">
        <f t="shared" si="33"/>
        <v>1005450</v>
      </c>
      <c r="N106" s="2">
        <f t="shared" si="33"/>
        <v>1005450</v>
      </c>
      <c r="O106" s="2">
        <f>SUM(O103:O105)</f>
        <v>1005450</v>
      </c>
      <c r="P106" s="35">
        <f>SUM(D106:O106)</f>
        <v>14798900</v>
      </c>
    </row>
    <row r="107" spans="1:16" x14ac:dyDescent="0.4">
      <c r="A107" t="s">
        <v>43</v>
      </c>
      <c r="B107" t="s">
        <v>41</v>
      </c>
      <c r="D107" s="2">
        <v>263000</v>
      </c>
      <c r="E107" s="2">
        <v>263000</v>
      </c>
      <c r="F107" s="2">
        <v>263000</v>
      </c>
      <c r="G107" s="2">
        <v>263000</v>
      </c>
      <c r="H107" s="2">
        <v>263000</v>
      </c>
      <c r="I107" s="2">
        <v>263000</v>
      </c>
      <c r="J107" s="2">
        <v>263000</v>
      </c>
      <c r="K107" s="2">
        <v>263000</v>
      </c>
      <c r="L107" s="2">
        <v>263000</v>
      </c>
      <c r="M107" s="2">
        <v>263000</v>
      </c>
      <c r="N107" s="2">
        <v>263000</v>
      </c>
      <c r="O107" s="2">
        <v>263000</v>
      </c>
      <c r="P107" s="2">
        <f>SUM(D107:O107)</f>
        <v>3156000</v>
      </c>
    </row>
    <row r="108" spans="1:16" x14ac:dyDescent="0.4">
      <c r="A108" t="s">
        <v>44</v>
      </c>
      <c r="B108"/>
      <c r="P108" s="2"/>
    </row>
    <row r="109" spans="1:16" x14ac:dyDescent="0.4">
      <c r="A109" t="s">
        <v>45</v>
      </c>
      <c r="B109" t="s">
        <v>46</v>
      </c>
      <c r="D109" s="2">
        <v>75600</v>
      </c>
      <c r="P109" s="2">
        <f>SUM(D109:O109)</f>
        <v>75600</v>
      </c>
    </row>
    <row r="110" spans="1:16" x14ac:dyDescent="0.4">
      <c r="A110"/>
      <c r="B110" t="s">
        <v>47</v>
      </c>
    </row>
    <row r="111" spans="1:16" x14ac:dyDescent="0.4">
      <c r="A111"/>
      <c r="B111" t="s">
        <v>48</v>
      </c>
    </row>
    <row r="112" spans="1:16" x14ac:dyDescent="0.4">
      <c r="A112" s="1" t="s">
        <v>29</v>
      </c>
      <c r="B112" s="1" t="s">
        <v>30</v>
      </c>
      <c r="D112" s="2">
        <v>0</v>
      </c>
      <c r="E112" s="2">
        <v>0</v>
      </c>
      <c r="F112" s="2">
        <v>0</v>
      </c>
      <c r="G112" s="2">
        <v>91200</v>
      </c>
      <c r="H112" s="2">
        <v>91200</v>
      </c>
      <c r="I112" s="2">
        <v>91200</v>
      </c>
      <c r="J112" s="2">
        <v>91200</v>
      </c>
      <c r="K112" s="2">
        <v>91200</v>
      </c>
      <c r="L112" s="2">
        <v>91200</v>
      </c>
      <c r="M112" s="2">
        <v>91200</v>
      </c>
      <c r="N112" s="2">
        <v>91200</v>
      </c>
      <c r="O112" s="2">
        <v>91200</v>
      </c>
      <c r="P112" s="2">
        <f>SUM(C112:O112)</f>
        <v>820800</v>
      </c>
    </row>
    <row r="113" spans="1:16" x14ac:dyDescent="0.4">
      <c r="A113" s="1" t="s">
        <v>33</v>
      </c>
      <c r="B113" s="1" t="s">
        <v>30</v>
      </c>
      <c r="D113" s="2">
        <v>0</v>
      </c>
      <c r="E113" s="2">
        <v>700000</v>
      </c>
      <c r="F113" s="2">
        <v>700000</v>
      </c>
      <c r="G113" s="2">
        <v>700000</v>
      </c>
      <c r="H113" s="2">
        <v>700000</v>
      </c>
      <c r="I113" s="2">
        <v>800000</v>
      </c>
      <c r="J113" s="2">
        <v>800000</v>
      </c>
      <c r="K113" s="2">
        <v>800000</v>
      </c>
      <c r="L113" s="2">
        <v>800000</v>
      </c>
      <c r="M113" s="2">
        <v>800000</v>
      </c>
      <c r="N113" s="2">
        <v>800000</v>
      </c>
      <c r="O113" s="2">
        <v>800000</v>
      </c>
      <c r="P113" s="2">
        <f>SUM(C113:O113)</f>
        <v>8400000</v>
      </c>
    </row>
    <row r="114" spans="1:16" x14ac:dyDescent="0.4">
      <c r="P114" s="2"/>
    </row>
    <row r="115" spans="1:16" x14ac:dyDescent="0.4">
      <c r="B115" s="1" t="s">
        <v>31</v>
      </c>
      <c r="D115" s="2">
        <v>0</v>
      </c>
      <c r="E115" s="2">
        <v>0</v>
      </c>
      <c r="F115" s="2">
        <v>0</v>
      </c>
      <c r="G115" s="2">
        <v>19200</v>
      </c>
      <c r="H115" s="2">
        <v>19200</v>
      </c>
      <c r="I115" s="2">
        <v>19200</v>
      </c>
      <c r="J115" s="2">
        <v>19200</v>
      </c>
      <c r="K115" s="2">
        <v>19200</v>
      </c>
      <c r="L115" s="2">
        <v>19200</v>
      </c>
      <c r="M115" s="2">
        <v>19200</v>
      </c>
      <c r="N115" s="2">
        <v>19200</v>
      </c>
      <c r="O115" s="2">
        <v>19200</v>
      </c>
      <c r="P115" s="2">
        <f>SUM(C115:O115)</f>
        <v>172800</v>
      </c>
    </row>
    <row r="116" spans="1:16" x14ac:dyDescent="0.4">
      <c r="B116" s="1" t="s">
        <v>31</v>
      </c>
      <c r="D116" s="2">
        <v>0</v>
      </c>
      <c r="E116" s="2">
        <v>100000</v>
      </c>
      <c r="F116" s="2">
        <v>100000</v>
      </c>
      <c r="G116" s="2">
        <v>100000</v>
      </c>
      <c r="H116" s="2">
        <v>100000</v>
      </c>
      <c r="I116" s="2">
        <v>200000</v>
      </c>
      <c r="J116" s="2">
        <v>200000</v>
      </c>
      <c r="K116" s="2">
        <v>200000</v>
      </c>
      <c r="L116" s="2">
        <v>200000</v>
      </c>
      <c r="M116" s="2">
        <v>200000</v>
      </c>
      <c r="N116" s="2">
        <v>200000</v>
      </c>
      <c r="O116" s="2">
        <v>200000</v>
      </c>
      <c r="P116" s="2">
        <f>SUM(C116:O116)</f>
        <v>1800000</v>
      </c>
    </row>
    <row r="117" spans="1:16" x14ac:dyDescent="0.4">
      <c r="P117" s="2"/>
    </row>
    <row r="118" spans="1:16" x14ac:dyDescent="0.4">
      <c r="B118" s="1" t="s">
        <v>32</v>
      </c>
      <c r="D118" s="2">
        <v>200000</v>
      </c>
      <c r="E118" s="2">
        <v>200000</v>
      </c>
      <c r="F118" s="2">
        <v>200000</v>
      </c>
      <c r="G118" s="2">
        <v>200000</v>
      </c>
      <c r="H118" s="2">
        <v>200000</v>
      </c>
      <c r="I118" s="2">
        <v>200000</v>
      </c>
      <c r="J118" s="2">
        <v>200000</v>
      </c>
      <c r="K118" s="2">
        <v>200000</v>
      </c>
      <c r="L118" s="2">
        <v>200000</v>
      </c>
      <c r="M118" s="2">
        <v>200000</v>
      </c>
      <c r="N118" s="2">
        <v>200000</v>
      </c>
      <c r="O118" s="2">
        <v>200000</v>
      </c>
      <c r="P118" s="2">
        <f>SUM(D118:O118)</f>
        <v>2400000</v>
      </c>
    </row>
    <row r="120" spans="1:16" x14ac:dyDescent="0.4">
      <c r="A120" s="1" t="s">
        <v>49</v>
      </c>
    </row>
    <row r="121" spans="1:16" x14ac:dyDescent="0.4">
      <c r="A121" s="1" t="s">
        <v>29</v>
      </c>
      <c r="B121" s="1" t="s">
        <v>30</v>
      </c>
      <c r="C121" s="1">
        <v>4000</v>
      </c>
      <c r="D121" s="2">
        <f>$T$121*$U$36</f>
        <v>0</v>
      </c>
      <c r="E121" s="2">
        <f>$T$121*$V$36</f>
        <v>0</v>
      </c>
      <c r="F121" s="2">
        <f>$T$121*$W$36</f>
        <v>0</v>
      </c>
      <c r="G121" s="2">
        <f>$T$121*$X$36</f>
        <v>0</v>
      </c>
      <c r="H121" s="2">
        <f>$T$121*$Y$36</f>
        <v>0</v>
      </c>
      <c r="I121" s="2">
        <f>$T$121*$Z$36</f>
        <v>0</v>
      </c>
      <c r="J121" s="2">
        <f>$T$121*$AA$36</f>
        <v>0</v>
      </c>
      <c r="K121" s="2">
        <f>$T$121*$AB$36</f>
        <v>0</v>
      </c>
      <c r="L121" s="2">
        <f>$T$121*$AC$36</f>
        <v>0</v>
      </c>
      <c r="M121" s="2">
        <f>$T$121*$AD$36</f>
        <v>0</v>
      </c>
      <c r="N121" s="2">
        <f>$T$121*$AE$36</f>
        <v>0</v>
      </c>
      <c r="O121" s="2">
        <f>$T$121*$AF$36</f>
        <v>0</v>
      </c>
      <c r="P121" s="2">
        <f>SUM(D121:O121)</f>
        <v>0</v>
      </c>
    </row>
    <row r="122" spans="1:16" x14ac:dyDescent="0.4">
      <c r="B122" s="1" t="s">
        <v>31</v>
      </c>
      <c r="C122" s="1">
        <v>3110</v>
      </c>
      <c r="D122" s="2">
        <f>$T122*$U$37</f>
        <v>0</v>
      </c>
      <c r="E122" s="2">
        <f>$T122*$V$37</f>
        <v>0</v>
      </c>
      <c r="F122" s="2">
        <f>$T$122*$W$37</f>
        <v>0</v>
      </c>
      <c r="G122" s="2">
        <f>$T$122*$X$37</f>
        <v>0</v>
      </c>
      <c r="H122" s="2">
        <f>$T$122*$Y$37</f>
        <v>0</v>
      </c>
      <c r="I122" s="2">
        <f>$T122*$Z$37</f>
        <v>0</v>
      </c>
      <c r="J122" s="2">
        <f>$T122*$Z$37</f>
        <v>0</v>
      </c>
      <c r="K122" s="2">
        <f>$T122*$Z$37</f>
        <v>0</v>
      </c>
      <c r="L122" s="2">
        <f>$T122*$Z$37</f>
        <v>0</v>
      </c>
      <c r="M122" s="2">
        <f t="shared" ref="M122:O122" si="34">$T122*$Z$37</f>
        <v>0</v>
      </c>
      <c r="N122" s="2">
        <f t="shared" si="34"/>
        <v>0</v>
      </c>
      <c r="O122" s="2">
        <f t="shared" si="34"/>
        <v>0</v>
      </c>
      <c r="P122" s="2">
        <f t="shared" ref="P122:P123" si="35">SUM(D122:O122)</f>
        <v>0</v>
      </c>
    </row>
    <row r="123" spans="1:16" x14ac:dyDescent="0.4">
      <c r="B123" s="1" t="s">
        <v>32</v>
      </c>
      <c r="C123" s="1">
        <v>7000</v>
      </c>
      <c r="D123" s="2">
        <f>$T$123*$U$38</f>
        <v>0</v>
      </c>
      <c r="E123" s="2">
        <f>$T$123*$V$38</f>
        <v>0</v>
      </c>
      <c r="F123" s="2">
        <f>$T123*$W$38</f>
        <v>0</v>
      </c>
      <c r="G123" s="2">
        <f t="shared" ref="G123:O123" si="36">$T123*$W$38</f>
        <v>0</v>
      </c>
      <c r="H123" s="2">
        <f t="shared" si="36"/>
        <v>0</v>
      </c>
      <c r="I123" s="2">
        <f t="shared" si="36"/>
        <v>0</v>
      </c>
      <c r="J123" s="2">
        <f t="shared" si="36"/>
        <v>0</v>
      </c>
      <c r="K123" s="2">
        <f t="shared" si="36"/>
        <v>0</v>
      </c>
      <c r="L123" s="2">
        <f t="shared" si="36"/>
        <v>0</v>
      </c>
      <c r="M123" s="2">
        <f t="shared" si="36"/>
        <v>0</v>
      </c>
      <c r="N123" s="2">
        <f t="shared" si="36"/>
        <v>0</v>
      </c>
      <c r="O123" s="2">
        <f t="shared" si="36"/>
        <v>0</v>
      </c>
      <c r="P123" s="2">
        <f t="shared" si="35"/>
        <v>0</v>
      </c>
    </row>
    <row r="124" spans="1:16" x14ac:dyDescent="0.4">
      <c r="A124" s="1" t="s">
        <v>33</v>
      </c>
      <c r="B124" s="1" t="s">
        <v>30</v>
      </c>
      <c r="D124" s="2">
        <f>$T$121*$U$39</f>
        <v>0</v>
      </c>
      <c r="E124" s="2">
        <f>$T$121*$V$39</f>
        <v>0</v>
      </c>
      <c r="F124" s="2">
        <f>$T$121*$W$39</f>
        <v>0</v>
      </c>
      <c r="G124" s="2">
        <f>$T$121*$X$39</f>
        <v>0</v>
      </c>
      <c r="H124" s="2">
        <f>$T$121*$Y$39</f>
        <v>0</v>
      </c>
      <c r="I124" s="2">
        <f>$T$121*$Z$39</f>
        <v>0</v>
      </c>
      <c r="J124" s="2">
        <f>$T$121*$AA$39</f>
        <v>0</v>
      </c>
      <c r="K124" s="2">
        <f>$T$121*$AB$39</f>
        <v>0</v>
      </c>
      <c r="L124" s="2">
        <f>$T$121*$AC$39</f>
        <v>0</v>
      </c>
      <c r="M124" s="2">
        <f>$T$121*$AD$39</f>
        <v>0</v>
      </c>
      <c r="N124" s="2">
        <f>$T$121*$AE$39</f>
        <v>0</v>
      </c>
      <c r="O124" s="2">
        <f>$T$121*$AF$39</f>
        <v>0</v>
      </c>
      <c r="P124" s="2">
        <f>SUM(D124:O124)</f>
        <v>0</v>
      </c>
    </row>
    <row r="125" spans="1:16" x14ac:dyDescent="0.4">
      <c r="B125" s="1" t="s">
        <v>31</v>
      </c>
      <c r="C125" s="1">
        <v>3110</v>
      </c>
      <c r="D125" s="2">
        <f>$T125*$U$40</f>
        <v>0</v>
      </c>
      <c r="E125" s="2">
        <f>$T125*$V$40</f>
        <v>0</v>
      </c>
      <c r="F125" s="2">
        <f>$T$122*$W$40</f>
        <v>0</v>
      </c>
      <c r="G125" s="2">
        <f>$T$122*$X$40</f>
        <v>0</v>
      </c>
      <c r="H125" s="2">
        <f>$T$122*$Y$40</f>
        <v>0</v>
      </c>
      <c r="I125" s="2">
        <f t="shared" ref="I125:O125" si="37">$T125*$Z$40</f>
        <v>0</v>
      </c>
      <c r="J125" s="2">
        <f t="shared" si="37"/>
        <v>0</v>
      </c>
      <c r="K125" s="2">
        <f t="shared" si="37"/>
        <v>0</v>
      </c>
      <c r="L125" s="2">
        <f t="shared" si="37"/>
        <v>0</v>
      </c>
      <c r="M125" s="2">
        <f t="shared" si="37"/>
        <v>0</v>
      </c>
      <c r="N125" s="2">
        <f t="shared" si="37"/>
        <v>0</v>
      </c>
      <c r="O125" s="2">
        <f t="shared" si="37"/>
        <v>0</v>
      </c>
      <c r="P125" s="2">
        <f>SUM(D125:O125)</f>
        <v>0</v>
      </c>
    </row>
    <row r="127" spans="1:16" x14ac:dyDescent="0.4">
      <c r="O127" s="2">
        <f>Q127-P127</f>
        <v>0</v>
      </c>
      <c r="P127" s="2">
        <f>SUM(P121:P124)</f>
        <v>0</v>
      </c>
    </row>
  </sheetData>
  <phoneticPr fontId="2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FMI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Keith(陳 建志)</dc:creator>
  <cp:lastModifiedBy>CHEN Keith(陳 建志)</cp:lastModifiedBy>
  <dcterms:created xsi:type="dcterms:W3CDTF">2025-12-22T04:48:41Z</dcterms:created>
  <dcterms:modified xsi:type="dcterms:W3CDTF">2025-12-22T04:50:05Z</dcterms:modified>
</cp:coreProperties>
</file>